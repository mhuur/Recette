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rier" sheetId="1" state="visible" r:id="rId1"/>
    <sheet xmlns:r="http://schemas.openxmlformats.org/officeDocument/2006/relationships" name="Lisez-moi" sheetId="2" state="visible" r:id="rId2"/>
  </sheets>
  <definedNames>
    <definedName name="_xlnm._FilterDatabase" localSheetId="0" hidden="1">'Calendrier'!$A$1:$P$308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777777"/>
      <sz val="9"/>
    </font>
    <font>
      <color rgb="007BB661"/>
    </font>
    <font>
      <color rgb="00555555"/>
      <sz val="9"/>
    </font>
    <font>
      <color rgb="00B08968"/>
    </font>
    <font>
      <color rgb="004FA3A5"/>
    </font>
    <font>
      <color rgb="00F2A541"/>
    </font>
    <font>
      <color rgb="009E9E9E"/>
    </font>
    <font>
      <b val="1"/>
      <sz val="13"/>
    </font>
  </fonts>
  <fills count="14">
    <fill>
      <patternFill/>
    </fill>
    <fill>
      <patternFill patternType="gray125"/>
    </fill>
    <fill>
      <patternFill patternType="solid">
        <fgColor rgb="002F4F3E"/>
      </patternFill>
    </fill>
    <fill>
      <patternFill patternType="solid">
        <fgColor rgb="00EEF2EA"/>
      </patternFill>
    </fill>
    <fill>
      <patternFill patternType="solid">
        <fgColor rgb="00CFE8C0"/>
      </patternFill>
    </fill>
    <fill>
      <patternFill patternType="solid">
        <fgColor rgb="007BB661"/>
      </patternFill>
    </fill>
    <fill>
      <patternFill patternType="solid">
        <fgColor rgb="00B08968"/>
      </patternFill>
    </fill>
    <fill>
      <patternFill patternType="solid">
        <fgColor rgb="00E6D5C3"/>
      </patternFill>
    </fill>
    <fill>
      <patternFill patternType="solid">
        <fgColor rgb="00C9E6E6"/>
      </patternFill>
    </fill>
    <fill>
      <patternFill patternType="solid">
        <fgColor rgb="004FA3A5"/>
      </patternFill>
    </fill>
    <fill>
      <patternFill patternType="solid">
        <fgColor rgb="00F2A541"/>
      </patternFill>
    </fill>
    <fill>
      <patternFill patternType="solid">
        <fgColor rgb="00FBE0B6"/>
      </patternFill>
    </fill>
    <fill>
      <patternFill patternType="solid">
        <fgColor rgb="00E0E0E0"/>
      </patternFill>
    </fill>
    <fill>
      <patternFill patternType="solid">
        <fgColor rgb="009E9E9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5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0" customWidth="1" min="15" max="15"/>
    <col width="60" customWidth="1" min="16" max="16"/>
  </cols>
  <sheetData>
    <row r="1" ht="30" customHeight="1">
      <c r="A1" s="1" t="inlineStr">
        <is>
          <t>Catégorie</t>
        </is>
      </c>
      <c r="B1" s="1" t="inlineStr">
        <is>
          <t>Produit</t>
        </is>
      </c>
      <c r="C1" s="1" t="inlineStr">
        <is>
          <t>Jan</t>
        </is>
      </c>
      <c r="D1" s="1" t="inlineStr">
        <is>
          <t>Fév</t>
        </is>
      </c>
      <c r="E1" s="1" t="inlineStr">
        <is>
          <t>Mar</t>
        </is>
      </c>
      <c r="F1" s="1" t="inlineStr">
        <is>
          <t>Avr</t>
        </is>
      </c>
      <c r="G1" s="1" t="inlineStr">
        <is>
          <t>Mai</t>
        </is>
      </c>
      <c r="H1" s="1" t="inlineStr">
        <is>
          <t>Juin</t>
        </is>
      </c>
      <c r="I1" s="1" t="inlineStr">
        <is>
          <t>Juil</t>
        </is>
      </c>
      <c r="J1" s="1" t="inlineStr">
        <is>
          <t>Août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Déc</t>
        </is>
      </c>
      <c r="O1" s="1" t="inlineStr">
        <is>
          <t>Sources (période par source)</t>
        </is>
      </c>
      <c r="P1" s="1" t="inlineStr">
        <is>
          <t>Notes</t>
        </is>
      </c>
    </row>
    <row r="2">
      <c r="A2" s="2" t="inlineStr">
        <is>
          <t>Légume · alliacées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A3" s="4" t="inlineStr">
        <is>
          <t>Légume · alliacées</t>
        </is>
      </c>
      <c r="B3" s="5" t="inlineStr">
        <is>
          <t>Ail sec (de garde)</t>
        </is>
      </c>
      <c r="C3" s="6" t="inlineStr">
        <is>
          <t>●</t>
        </is>
      </c>
      <c r="D3" s="6" t="inlineStr">
        <is>
          <t>●</t>
        </is>
      </c>
      <c r="E3" s="6" t="inlineStr">
        <is>
          <t>●</t>
        </is>
      </c>
      <c r="F3" s="6" t="inlineStr">
        <is>
          <t>●</t>
        </is>
      </c>
      <c r="G3" s="6" t="inlineStr">
        <is>
          <t>●</t>
        </is>
      </c>
      <c r="H3" s="7" t="inlineStr">
        <is>
          <t>●</t>
        </is>
      </c>
      <c r="I3" s="7" t="inlineStr">
        <is>
          <t>●</t>
        </is>
      </c>
      <c r="J3" s="6" t="inlineStr">
        <is>
          <t>●</t>
        </is>
      </c>
      <c r="K3" s="6" t="inlineStr">
        <is>
          <t>●</t>
        </is>
      </c>
      <c r="L3" s="6" t="inlineStr">
        <is>
          <t>●</t>
        </is>
      </c>
      <c r="M3" s="6" t="inlineStr">
        <is>
          <t>●</t>
        </is>
      </c>
      <c r="N3" s="6" t="inlineStr">
        <is>
          <t>●</t>
        </is>
      </c>
      <c r="O3" s="8" t="inlineStr">
        <is>
          <t>FL « Ail » : avr.-août (pleine juin-juil.) · GP « Ail » : toute l'année · IF « Ail » : toute l'année · BNA « ail » : mai-fév. · sept. seul : CV, BM</t>
        </is>
      </c>
      <c r="P3" s="8" t="inlineStr">
        <is>
          <t>FL ne le donne que d'avril à août (récolte). Les autres sources le donnent toute l'année (garde)</t>
        </is>
      </c>
    </row>
    <row r="4">
      <c r="A4" s="4" t="inlineStr">
        <is>
          <t>Légume · alliacées</t>
        </is>
      </c>
      <c r="B4" s="5" t="inlineStr">
        <is>
          <t>Ail frais / ail nouveau</t>
        </is>
      </c>
      <c r="C4" s="9" t="n"/>
      <c r="D4" s="9" t="n"/>
      <c r="E4" s="9" t="n"/>
      <c r="F4" s="9" t="n"/>
      <c r="G4" s="6" t="inlineStr">
        <is>
          <t>●</t>
        </is>
      </c>
      <c r="H4" s="6" t="inlineStr">
        <is>
          <t>●</t>
        </is>
      </c>
      <c r="I4" s="6" t="inlineStr">
        <is>
          <t>●</t>
        </is>
      </c>
      <c r="J4" s="9" t="n"/>
      <c r="K4" s="9" t="n"/>
      <c r="L4" s="9" t="n"/>
      <c r="M4" s="9" t="n"/>
      <c r="N4" s="9" t="n"/>
      <c r="O4" s="8" t="inlineStr">
        <is>
          <t>IF fiche ail : juin-juil. · FL fiche ail : mai-juil.</t>
        </is>
      </c>
      <c r="P4" s="8" t="inlineStr"/>
    </row>
    <row r="5">
      <c r="A5" s="4" t="inlineStr">
        <is>
          <t>Légume · alliacées</t>
        </is>
      </c>
      <c r="B5" s="5" t="inlineStr">
        <is>
          <t>Ail rose de Lautrec (Label rouge)</t>
        </is>
      </c>
      <c r="C5" s="6" t="inlineStr">
        <is>
          <t>●</t>
        </is>
      </c>
      <c r="D5" s="6" t="inlineStr">
        <is>
          <t>●</t>
        </is>
      </c>
      <c r="E5" s="6" t="inlineStr">
        <is>
          <t>●</t>
        </is>
      </c>
      <c r="F5" s="6" t="inlineStr">
        <is>
          <t>●</t>
        </is>
      </c>
      <c r="G5" s="6" t="inlineStr">
        <is>
          <t>●</t>
        </is>
      </c>
      <c r="H5" s="7" t="inlineStr">
        <is>
          <t>●</t>
        </is>
      </c>
      <c r="I5" s="7" t="inlineStr">
        <is>
          <t>●</t>
        </is>
      </c>
      <c r="J5" s="6" t="inlineStr">
        <is>
          <t>●</t>
        </is>
      </c>
      <c r="K5" s="6" t="inlineStr">
        <is>
          <t>●</t>
        </is>
      </c>
      <c r="L5" s="6" t="inlineStr">
        <is>
          <t>●</t>
        </is>
      </c>
      <c r="M5" s="6" t="inlineStr">
        <is>
          <t>●</t>
        </is>
      </c>
      <c r="N5" s="6" t="inlineStr">
        <is>
          <t>●</t>
        </is>
      </c>
      <c r="O5" s="8">
        <f> Ail sec (de garde) (assimilé)</f>
        <v/>
      </c>
      <c r="P5" s="8" t="inlineStr">
        <is>
          <t>Aucune source consultée ne le distingue de l'ail sec</t>
        </is>
      </c>
    </row>
    <row r="6">
      <c r="A6" s="4" t="inlineStr">
        <is>
          <t>Légume · alliacées</t>
        </is>
      </c>
      <c r="B6" s="5" t="inlineStr">
        <is>
          <t>Ail violet de Cadours (AOP)</t>
        </is>
      </c>
      <c r="C6" s="6" t="inlineStr">
        <is>
          <t>●</t>
        </is>
      </c>
      <c r="D6" s="6" t="inlineStr">
        <is>
          <t>●</t>
        </is>
      </c>
      <c r="E6" s="6" t="inlineStr">
        <is>
          <t>●</t>
        </is>
      </c>
      <c r="F6" s="6" t="inlineStr">
        <is>
          <t>●</t>
        </is>
      </c>
      <c r="G6" s="6" t="inlineStr">
        <is>
          <t>●</t>
        </is>
      </c>
      <c r="H6" s="7" t="inlineStr">
        <is>
          <t>●</t>
        </is>
      </c>
      <c r="I6" s="7" t="inlineStr">
        <is>
          <t>●</t>
        </is>
      </c>
      <c r="J6" s="6" t="inlineStr">
        <is>
          <t>●</t>
        </is>
      </c>
      <c r="K6" s="6" t="inlineStr">
        <is>
          <t>●</t>
        </is>
      </c>
      <c r="L6" s="6" t="inlineStr">
        <is>
          <t>●</t>
        </is>
      </c>
      <c r="M6" s="6" t="inlineStr">
        <is>
          <t>●</t>
        </is>
      </c>
      <c r="N6" s="6" t="inlineStr">
        <is>
          <t>●</t>
        </is>
      </c>
      <c r="O6" s="8">
        <f> Ail sec (de garde) (assimilé)</f>
        <v/>
      </c>
      <c r="P6" s="8" t="inlineStr">
        <is>
          <t>Aucune source consultée ne le distingue de l'ail sec</t>
        </is>
      </c>
    </row>
    <row r="7">
      <c r="A7" s="4" t="inlineStr">
        <is>
          <t>Légume · alliacées</t>
        </is>
      </c>
      <c r="B7" s="5" t="inlineStr">
        <is>
          <t>Ail fumé d'Arleux</t>
        </is>
      </c>
      <c r="C7" s="6" t="inlineStr">
        <is>
          <t>●</t>
        </is>
      </c>
      <c r="D7" s="6" t="inlineStr">
        <is>
          <t>●</t>
        </is>
      </c>
      <c r="E7" s="6" t="inlineStr">
        <is>
          <t>●</t>
        </is>
      </c>
      <c r="F7" s="6" t="inlineStr">
        <is>
          <t>●</t>
        </is>
      </c>
      <c r="G7" s="6" t="inlineStr">
        <is>
          <t>●</t>
        </is>
      </c>
      <c r="H7" s="7" t="inlineStr">
        <is>
          <t>●</t>
        </is>
      </c>
      <c r="I7" s="7" t="inlineStr">
        <is>
          <t>●</t>
        </is>
      </c>
      <c r="J7" s="6" t="inlineStr">
        <is>
          <t>●</t>
        </is>
      </c>
      <c r="K7" s="6" t="inlineStr">
        <is>
          <t>●</t>
        </is>
      </c>
      <c r="L7" s="6" t="inlineStr">
        <is>
          <t>●</t>
        </is>
      </c>
      <c r="M7" s="6" t="inlineStr">
        <is>
          <t>●</t>
        </is>
      </c>
      <c r="N7" s="6" t="inlineStr">
        <is>
          <t>●</t>
        </is>
      </c>
      <c r="O7" s="8">
        <f> Ail sec (de garde) (assimilé)</f>
        <v/>
      </c>
      <c r="P7" s="8" t="inlineStr">
        <is>
          <t>Aucune source consultée ne le distingue de l'ail sec</t>
        </is>
      </c>
    </row>
    <row r="8">
      <c r="A8" s="4" t="inlineStr">
        <is>
          <t>Légume · alliacées</t>
        </is>
      </c>
      <c r="B8" s="5" t="inlineStr">
        <is>
          <t>Aillet (ail vert)</t>
        </is>
      </c>
      <c r="C8" s="9" t="n"/>
      <c r="D8" s="9" t="n"/>
      <c r="E8" s="9" t="n"/>
      <c r="F8" s="6" t="inlineStr">
        <is>
          <t>●</t>
        </is>
      </c>
      <c r="G8" s="6" t="inlineStr">
        <is>
          <t>●</t>
        </is>
      </c>
      <c r="H8" s="6" t="inlineStr">
        <is>
          <t>●</t>
        </is>
      </c>
      <c r="I8" s="9" t="n"/>
      <c r="J8" s="9" t="n"/>
      <c r="K8" s="9" t="n"/>
      <c r="L8" s="9" t="n"/>
      <c r="M8" s="9" t="n"/>
      <c r="N8" s="9" t="n"/>
      <c r="O8" s="8" t="inlineStr">
        <is>
          <t>BNA « aillet » : avr.-juin</t>
        </is>
      </c>
      <c r="P8" s="8" t="inlineStr"/>
    </row>
    <row r="9">
      <c r="A9" s="4" t="inlineStr">
        <is>
          <t>Légume · alliacées</t>
        </is>
      </c>
      <c r="B9" s="5" t="inlineStr">
        <is>
          <t>Ail des ours</t>
        </is>
      </c>
      <c r="C9" s="9" t="n"/>
      <c r="D9" s="9" t="n"/>
      <c r="E9" s="6" t="inlineStr">
        <is>
          <t>●</t>
        </is>
      </c>
      <c r="F9" s="6" t="inlineStr">
        <is>
          <t>●</t>
        </is>
      </c>
      <c r="G9" s="9" t="n"/>
      <c r="H9" s="9" t="n"/>
      <c r="I9" s="9" t="n"/>
      <c r="J9" s="9" t="n"/>
      <c r="K9" s="9" t="n"/>
      <c r="L9" s="9" t="n"/>
      <c r="M9" s="9" t="n"/>
      <c r="N9" s="9" t="n"/>
      <c r="O9" s="8" t="inlineStr">
        <is>
          <t>ML (Ail des ours) : mars-avr.</t>
        </is>
      </c>
      <c r="P9" s="8" t="inlineStr"/>
    </row>
    <row r="10">
      <c r="A10" s="4" t="inlineStr">
        <is>
          <t>Légume · alliacées</t>
        </is>
      </c>
      <c r="B10" s="5" t="inlineStr">
        <is>
          <t>Oignon jaune (de garde)</t>
        </is>
      </c>
      <c r="C10" s="7" t="inlineStr">
        <is>
          <t>●</t>
        </is>
      </c>
      <c r="D10" s="7" t="inlineStr">
        <is>
          <t>●</t>
        </is>
      </c>
      <c r="E10" s="7" t="inlineStr">
        <is>
          <t>●</t>
        </is>
      </c>
      <c r="F10" s="7" t="inlineStr">
        <is>
          <t>●</t>
        </is>
      </c>
      <c r="G10" s="7" t="inlineStr">
        <is>
          <t>●</t>
        </is>
      </c>
      <c r="H10" s="9" t="n"/>
      <c r="I10" s="9" t="n"/>
      <c r="J10" s="7" t="inlineStr">
        <is>
          <t>●</t>
        </is>
      </c>
      <c r="K10" s="7" t="inlineStr">
        <is>
          <t>●</t>
        </is>
      </c>
      <c r="L10" s="7" t="inlineStr">
        <is>
          <t>●</t>
        </is>
      </c>
      <c r="M10" s="7" t="inlineStr">
        <is>
          <t>●</t>
        </is>
      </c>
      <c r="N10" s="7" t="inlineStr">
        <is>
          <t>●</t>
        </is>
      </c>
      <c r="O10" s="8" t="inlineStr">
        <is>
          <t>FL « Oignon » : août-avr. (pleine sept.-oct.) · IF « Oignon » : toute l'année (pleine août-mai) · GP « Oignon » : avr.-mai · BNA « oignon » : jan.-fév. · BNA « oignon sec » : juil.-déc. · sept. seul : CV, BM, PG</t>
        </is>
      </c>
      <c r="P10" s="8" t="inlineStr"/>
    </row>
    <row r="11">
      <c r="A11" s="4" t="inlineStr">
        <is>
          <t>Légume · alliacées</t>
        </is>
      </c>
      <c r="B11" s="5" t="inlineStr">
        <is>
          <t>Oignon rouge</t>
        </is>
      </c>
      <c r="C11" s="7" t="inlineStr">
        <is>
          <t>●</t>
        </is>
      </c>
      <c r="D11" s="7" t="inlineStr">
        <is>
          <t>●</t>
        </is>
      </c>
      <c r="E11" s="7" t="inlineStr">
        <is>
          <t>●</t>
        </is>
      </c>
      <c r="F11" s="7" t="inlineStr">
        <is>
          <t>●</t>
        </is>
      </c>
      <c r="G11" s="7" t="inlineStr">
        <is>
          <t>●</t>
        </is>
      </c>
      <c r="H11" s="6" t="inlineStr">
        <is>
          <t>●</t>
        </is>
      </c>
      <c r="I11" s="6" t="inlineStr">
        <is>
          <t>●</t>
        </is>
      </c>
      <c r="J11" s="7" t="inlineStr">
        <is>
          <t>●</t>
        </is>
      </c>
      <c r="K11" s="7" t="inlineStr">
        <is>
          <t>●</t>
        </is>
      </c>
      <c r="L11" s="7" t="inlineStr">
        <is>
          <t>●</t>
        </is>
      </c>
      <c r="M11" s="7" t="inlineStr">
        <is>
          <t>●</t>
        </is>
      </c>
      <c r="N11" s="7" t="inlineStr">
        <is>
          <t>●</t>
        </is>
      </c>
      <c r="O11" s="8" t="inlineStr">
        <is>
          <t>FL « Oignon rouge » : juil.-sept. (pleine août-sept.) · IF « Oignon » : toute l'année (pleine août-mai)</t>
        </is>
      </c>
      <c r="P11" s="8" t="inlineStr"/>
    </row>
    <row r="12">
      <c r="A12" s="4" t="inlineStr">
        <is>
          <t>Légume · alliacées</t>
        </is>
      </c>
      <c r="B12" s="5" t="inlineStr">
        <is>
          <t>Oignon doux des Cévennes (AOP)</t>
        </is>
      </c>
      <c r="C12" s="6" t="inlineStr">
        <is>
          <t>●</t>
        </is>
      </c>
      <c r="D12" s="6" t="inlineStr">
        <is>
          <t>●</t>
        </is>
      </c>
      <c r="E12" s="6" t="inlineStr">
        <is>
          <t>●</t>
        </is>
      </c>
      <c r="F12" s="9" t="n"/>
      <c r="G12" s="9" t="n"/>
      <c r="H12" s="9" t="n"/>
      <c r="I12" s="9" t="n"/>
      <c r="J12" s="6" t="inlineStr">
        <is>
          <t>●</t>
        </is>
      </c>
      <c r="K12" s="6" t="inlineStr">
        <is>
          <t>●</t>
        </is>
      </c>
      <c r="L12" s="6" t="inlineStr">
        <is>
          <t>●</t>
        </is>
      </c>
      <c r="M12" s="6" t="inlineStr">
        <is>
          <t>●</t>
        </is>
      </c>
      <c r="N12" s="6" t="inlineStr">
        <is>
          <t>●</t>
        </is>
      </c>
      <c r="O12" s="8" t="inlineStr">
        <is>
          <t>ODC (sur les étals de mi-août à mars ; récolte août-sept.) : août-mars</t>
        </is>
      </c>
      <c r="P12" s="8" t="inlineStr"/>
    </row>
    <row r="13">
      <c r="A13" s="4" t="inlineStr">
        <is>
          <t>Légume · alliacées</t>
        </is>
      </c>
      <c r="B13" s="5" t="inlineStr">
        <is>
          <t>Oignon rosé de Roscoff (AOP)</t>
        </is>
      </c>
      <c r="C13" s="6" t="inlineStr">
        <is>
          <t>●</t>
        </is>
      </c>
      <c r="D13" s="6" t="inlineStr">
        <is>
          <t>●</t>
        </is>
      </c>
      <c r="E13" s="6" t="inlineStr">
        <is>
          <t>●</t>
        </is>
      </c>
      <c r="F13" s="6" t="inlineStr">
        <is>
          <t>●</t>
        </is>
      </c>
      <c r="G13" s="9" t="n"/>
      <c r="H13" s="9" t="n"/>
      <c r="I13" s="9" t="n"/>
      <c r="J13" s="6" t="inlineStr">
        <is>
          <t>●</t>
        </is>
      </c>
      <c r="K13" s="6" t="inlineStr">
        <is>
          <t>●</t>
        </is>
      </c>
      <c r="L13" s="6" t="inlineStr">
        <is>
          <t>●</t>
        </is>
      </c>
      <c r="M13" s="6" t="inlineStr">
        <is>
          <t>●</t>
        </is>
      </c>
      <c r="N13" s="6" t="inlineStr">
        <is>
          <t>●</t>
        </is>
      </c>
      <c r="O13" s="8" t="inlineStr">
        <is>
          <t>OTR (d'août à avril ; vente lancée à la fête de l'oignon (3e w-e d'août)) : août-avr.</t>
        </is>
      </c>
      <c r="P13" s="8" t="inlineStr"/>
    </row>
    <row r="14">
      <c r="A14" s="4" t="inlineStr">
        <is>
          <t>Légume · alliacées</t>
        </is>
      </c>
      <c r="B14" s="5" t="inlineStr">
        <is>
          <t>Oignon blanc / oignon nouveau (botte)</t>
        </is>
      </c>
      <c r="C14" s="9" t="n"/>
      <c r="D14" s="9" t="n"/>
      <c r="E14" s="6" t="inlineStr">
        <is>
          <t>●</t>
        </is>
      </c>
      <c r="F14" s="7" t="inlineStr">
        <is>
          <t>●</t>
        </is>
      </c>
      <c r="G14" s="7" t="inlineStr">
        <is>
          <t>●</t>
        </is>
      </c>
      <c r="H14" s="6" t="inlineStr">
        <is>
          <t>●</t>
        </is>
      </c>
      <c r="I14" s="9" t="n"/>
      <c r="J14" s="6" t="inlineStr">
        <is>
          <t>●</t>
        </is>
      </c>
      <c r="K14" s="6" t="inlineStr">
        <is>
          <t>●</t>
        </is>
      </c>
      <c r="L14" s="6" t="inlineStr">
        <is>
          <t>●</t>
        </is>
      </c>
      <c r="M14" s="9" t="n"/>
      <c r="N14" s="9" t="n"/>
      <c r="O14" s="8" t="inlineStr">
        <is>
          <t>FL « Petit oignon blanc » : mars-oct. (pleine avr.-mai) · IF « Oignon Primeur » : sept.-avr. · BNA « oignon blanc » : mars-juin, août</t>
        </is>
      </c>
      <c r="P14" s="8" t="inlineStr"/>
    </row>
    <row r="15">
      <c r="A15" s="4" t="inlineStr">
        <is>
          <t>Légume · alliacées</t>
        </is>
      </c>
      <c r="B15" s="5" t="inlineStr">
        <is>
          <t>Cébette / ciboule</t>
        </is>
      </c>
      <c r="C15" s="6" t="inlineStr">
        <is>
          <t>●</t>
        </is>
      </c>
      <c r="D15" s="6" t="inlineStr">
        <is>
          <t>●</t>
        </is>
      </c>
      <c r="E15" s="6" t="inlineStr">
        <is>
          <t>●</t>
        </is>
      </c>
      <c r="F15" s="7" t="inlineStr">
        <is>
          <t>●</t>
        </is>
      </c>
      <c r="G15" s="7" t="inlineStr">
        <is>
          <t>●</t>
        </is>
      </c>
      <c r="H15" s="6" t="inlineStr">
        <is>
          <t>●</t>
        </is>
      </c>
      <c r="I15" s="6" t="inlineStr">
        <is>
          <t>●</t>
        </is>
      </c>
      <c r="J15" s="6" t="inlineStr">
        <is>
          <t>●</t>
        </is>
      </c>
      <c r="K15" s="6" t="inlineStr">
        <is>
          <t>●</t>
        </is>
      </c>
      <c r="L15" s="6" t="inlineStr">
        <is>
          <t>●</t>
        </is>
      </c>
      <c r="M15" s="6" t="inlineStr">
        <is>
          <t>●</t>
        </is>
      </c>
      <c r="N15" s="6" t="inlineStr">
        <is>
          <t>●</t>
        </is>
      </c>
      <c r="O15" s="8" t="inlineStr">
        <is>
          <t>IF « Oignon Primeur » : sept.-avr. · FL « Petit oignon blanc » : mars-oct. (pleine avr.-mai)</t>
        </is>
      </c>
      <c r="P15" s="8" t="inlineStr"/>
    </row>
    <row r="16">
      <c r="A16" s="4" t="inlineStr">
        <is>
          <t>Légume · alliacées</t>
        </is>
      </c>
      <c r="B16" s="5" t="inlineStr">
        <is>
          <t>Échalote</t>
        </is>
      </c>
      <c r="C16" s="7" t="inlineStr">
        <is>
          <t>●</t>
        </is>
      </c>
      <c r="D16" s="7" t="inlineStr">
        <is>
          <t>●</t>
        </is>
      </c>
      <c r="E16" s="7" t="inlineStr">
        <is>
          <t>●</t>
        </is>
      </c>
      <c r="F16" s="7" t="inlineStr">
        <is>
          <t>●</t>
        </is>
      </c>
      <c r="G16" s="7" t="inlineStr">
        <is>
          <t>●</t>
        </is>
      </c>
      <c r="H16" s="9" t="n"/>
      <c r="I16" s="6" t="inlineStr">
        <is>
          <t>●</t>
        </is>
      </c>
      <c r="J16" s="7" t="inlineStr">
        <is>
          <t>●</t>
        </is>
      </c>
      <c r="K16" s="7" t="inlineStr">
        <is>
          <t>●</t>
        </is>
      </c>
      <c r="L16" s="7" t="inlineStr">
        <is>
          <t>●</t>
        </is>
      </c>
      <c r="M16" s="7" t="inlineStr">
        <is>
          <t>●</t>
        </is>
      </c>
      <c r="N16" s="7" t="inlineStr">
        <is>
          <t>●</t>
        </is>
      </c>
      <c r="O16" s="8" t="inlineStr">
        <is>
          <t>IF « Échalote » : toute l'année (pleine août-mai) · BNA « échalote » : juil.-fév. · GP « Échalote » : oct.-déc. · sept. seul : PG</t>
        </is>
      </c>
      <c r="P16" s="8" t="inlineStr">
        <is>
          <t>GP ne la donne qu'en oct.-déc.</t>
        </is>
      </c>
    </row>
    <row r="17">
      <c r="A17" s="4" t="inlineStr">
        <is>
          <t>Légume · alliacées</t>
        </is>
      </c>
      <c r="B17" s="5" t="inlineStr">
        <is>
          <t>Échalote grise</t>
        </is>
      </c>
      <c r="C17" s="7" t="inlineStr">
        <is>
          <t>●</t>
        </is>
      </c>
      <c r="D17" s="7" t="inlineStr">
        <is>
          <t>●</t>
        </is>
      </c>
      <c r="E17" s="7" t="inlineStr">
        <is>
          <t>●</t>
        </is>
      </c>
      <c r="F17" s="7" t="inlineStr">
        <is>
          <t>●</t>
        </is>
      </c>
      <c r="G17" s="7" t="inlineStr">
        <is>
          <t>●</t>
        </is>
      </c>
      <c r="H17" s="9" t="n"/>
      <c r="I17" s="6" t="inlineStr">
        <is>
          <t>●</t>
        </is>
      </c>
      <c r="J17" s="7" t="inlineStr">
        <is>
          <t>●</t>
        </is>
      </c>
      <c r="K17" s="7" t="inlineStr">
        <is>
          <t>●</t>
        </is>
      </c>
      <c r="L17" s="7" t="inlineStr">
        <is>
          <t>●</t>
        </is>
      </c>
      <c r="M17" s="7" t="inlineStr">
        <is>
          <t>●</t>
        </is>
      </c>
      <c r="N17" s="7" t="inlineStr">
        <is>
          <t>●</t>
        </is>
      </c>
      <c r="O17" s="8">
        <f> Échalote (assimilé)</f>
        <v/>
      </c>
      <c r="P17" s="8" t="inlineStr">
        <is>
          <t>La fiche IF ne distingue aucune variété</t>
        </is>
      </c>
    </row>
    <row r="18">
      <c r="A18" s="4" t="inlineStr">
        <is>
          <t>Légume · alliacées</t>
        </is>
      </c>
      <c r="B18" s="5" t="inlineStr">
        <is>
          <t>Poireau</t>
        </is>
      </c>
      <c r="C18" s="7" t="inlineStr">
        <is>
          <t>●</t>
        </is>
      </c>
      <c r="D18" s="7" t="inlineStr">
        <is>
          <t>●</t>
        </is>
      </c>
      <c r="E18" s="7" t="inlineStr">
        <is>
          <t>●</t>
        </is>
      </c>
      <c r="F18" s="6" t="inlineStr">
        <is>
          <t>●</t>
        </is>
      </c>
      <c r="G18" s="9" t="n"/>
      <c r="H18" s="9" t="n"/>
      <c r="I18" s="9" t="n"/>
      <c r="J18" s="9" t="n"/>
      <c r="K18" s="6" t="inlineStr">
        <is>
          <t>●</t>
        </is>
      </c>
      <c r="L18" s="7" t="inlineStr">
        <is>
          <t>●</t>
        </is>
      </c>
      <c r="M18" s="7" t="inlineStr">
        <is>
          <t>●</t>
        </is>
      </c>
      <c r="N18" s="7" t="inlineStr">
        <is>
          <t>●</t>
        </is>
      </c>
      <c r="O18" s="8" t="inlineStr">
        <is>
          <t>FL « Poireau » : sept.-mars (pleine jan.-fév.) · GP « Poireau » : sept.-avr. · IF « Poireau » : sept.-avr. (pleine oct.-mars) · BNA « poireau » : toute l'année · sept. seul : CV, PG</t>
        </is>
      </c>
      <c r="P18" s="8" t="inlineStr"/>
    </row>
    <row r="19">
      <c r="A19" s="4" t="inlineStr">
        <is>
          <t>Légume · alliacées</t>
        </is>
      </c>
      <c r="B19" s="5" t="inlineStr">
        <is>
          <t>Poireau primeur</t>
        </is>
      </c>
      <c r="C19" s="9" t="n"/>
      <c r="D19" s="9" t="n"/>
      <c r="E19" s="9" t="n"/>
      <c r="F19" s="6" t="inlineStr">
        <is>
          <t>●</t>
        </is>
      </c>
      <c r="G19" s="6" t="inlineStr">
        <is>
          <t>●</t>
        </is>
      </c>
      <c r="H19" s="6" t="inlineStr">
        <is>
          <t>●</t>
        </is>
      </c>
      <c r="I19" s="6" t="inlineStr">
        <is>
          <t>●</t>
        </is>
      </c>
      <c r="J19" s="9" t="n"/>
      <c r="K19" s="9" t="n"/>
      <c r="L19" s="9" t="n"/>
      <c r="M19" s="9" t="n"/>
      <c r="N19" s="9" t="n"/>
      <c r="O19" s="8" t="inlineStr">
        <is>
          <t>LPF (primeur semé : fin avr.-20 mai ; primeur planté : 20 mai-fin juil.) : avr.-juil. · JM (récolte avr.-mai) : avr.-mai · sept. seul : GF</t>
        </is>
      </c>
      <c r="P19" s="8" t="inlineStr">
        <is>
          <t>Le calendrier IF prévoit une période « P » (primeur) non lisible dans le PDF</t>
        </is>
      </c>
    </row>
    <row r="20">
      <c r="A20" s="4" t="inlineStr">
        <is>
          <t>Légume · alliacées</t>
        </is>
      </c>
      <c r="B20" s="5" t="inlineStr">
        <is>
          <t>Asperge blanche</t>
        </is>
      </c>
      <c r="C20" s="9" t="n"/>
      <c r="D20" s="9" t="n"/>
      <c r="E20" s="7" t="inlineStr">
        <is>
          <t>●</t>
        </is>
      </c>
      <c r="F20" s="7" t="inlineStr">
        <is>
          <t>●</t>
        </is>
      </c>
      <c r="G20" s="7" t="inlineStr">
        <is>
          <t>●</t>
        </is>
      </c>
      <c r="H20" s="7" t="inlineStr">
        <is>
          <t>●</t>
        </is>
      </c>
      <c r="I20" s="9" t="n"/>
      <c r="J20" s="9" t="n"/>
      <c r="K20" s="9" t="n"/>
      <c r="L20" s="9" t="n"/>
      <c r="M20" s="9" t="n"/>
      <c r="N20" s="9" t="n"/>
      <c r="O20" s="8" t="inlineStr">
        <is>
          <t>FL « Asperge blanche » : avr.-juin (pleine mai) · IF « Asperge » : mars-juin (pleine mars-juin) · GP « Asperge » : mars-juil. · BNA « asperge » : mars-mai</t>
        </is>
      </c>
      <c r="P20" s="8" t="inlineStr"/>
    </row>
    <row r="21">
      <c r="A21" s="4" t="inlineStr">
        <is>
          <t>Légume · alliacées</t>
        </is>
      </c>
      <c r="B21" s="5" t="inlineStr">
        <is>
          <t>Asperge verte</t>
        </is>
      </c>
      <c r="C21" s="9" t="n"/>
      <c r="D21" s="9" t="n"/>
      <c r="E21" s="7" t="inlineStr">
        <is>
          <t>●</t>
        </is>
      </c>
      <c r="F21" s="7" t="inlineStr">
        <is>
          <t>●</t>
        </is>
      </c>
      <c r="G21" s="7" t="inlineStr">
        <is>
          <t>●</t>
        </is>
      </c>
      <c r="H21" s="7" t="inlineStr">
        <is>
          <t>●</t>
        </is>
      </c>
      <c r="I21" s="9" t="n"/>
      <c r="J21" s="9" t="n"/>
      <c r="K21" s="9" t="n"/>
      <c r="L21" s="9" t="n"/>
      <c r="M21" s="9" t="n"/>
      <c r="N21" s="9" t="n"/>
      <c r="O21" s="8" t="inlineStr">
        <is>
          <t>FL « Asperge verte » : mai-juin (pleine mai-juin) · IF « Asperge » : mars-juin (pleine mars-juin) · GP « Asperge » : mars-juil. · BNA « asperge » : mars-mai</t>
        </is>
      </c>
      <c r="P21" s="8" t="inlineStr"/>
    </row>
    <row r="22">
      <c r="A22" s="4" t="inlineStr">
        <is>
          <t>Légume · alliacées</t>
        </is>
      </c>
      <c r="B22" s="5" t="inlineStr">
        <is>
          <t>Asperge violette</t>
        </is>
      </c>
      <c r="C22" s="9" t="n"/>
      <c r="D22" s="9" t="n"/>
      <c r="E22" s="7" t="inlineStr">
        <is>
          <t>●</t>
        </is>
      </c>
      <c r="F22" s="7" t="inlineStr">
        <is>
          <t>●</t>
        </is>
      </c>
      <c r="G22" s="7" t="inlineStr">
        <is>
          <t>●</t>
        </is>
      </c>
      <c r="H22" s="7" t="inlineStr">
        <is>
          <t>●</t>
        </is>
      </c>
      <c r="I22" s="9" t="n"/>
      <c r="J22" s="9" t="n"/>
      <c r="K22" s="9" t="n"/>
      <c r="L22" s="9" t="n"/>
      <c r="M22" s="9" t="n"/>
      <c r="N22" s="9" t="n"/>
      <c r="O22" s="8">
        <f> Asperge blanche (assimilé)</f>
        <v/>
      </c>
      <c r="P22" s="8" t="inlineStr"/>
    </row>
    <row r="23">
      <c r="A23" s="4" t="inlineStr">
        <is>
          <t>Légume · alliacées</t>
        </is>
      </c>
      <c r="B23" s="5" t="inlineStr">
        <is>
          <t>Asperge sauvage</t>
        </is>
      </c>
      <c r="C23" s="9" t="n"/>
      <c r="D23" s="9" t="n"/>
      <c r="E23" s="9" t="n"/>
      <c r="F23" s="6" t="inlineStr">
        <is>
          <t>●</t>
        </is>
      </c>
      <c r="G23" s="6" t="inlineStr">
        <is>
          <t>●</t>
        </is>
      </c>
      <c r="H23" s="9" t="n"/>
      <c r="I23" s="9" t="n"/>
      <c r="J23" s="9" t="n"/>
      <c r="K23" s="9" t="n"/>
      <c r="L23" s="9" t="n"/>
      <c r="M23" s="9" t="n"/>
      <c r="N23" s="9" t="n"/>
      <c r="O23" s="8" t="inlineStr">
        <is>
          <t>AJ (« souvent au mois d'avril » ; mai via résumé ; espèce protégée dans plusieurs régions) : avr.-mai</t>
        </is>
      </c>
      <c r="P23" s="8" t="inlineStr">
        <is>
          <t>Printemps, non vérifié ; Espèce protégée dans plusieurs régions (AJ).</t>
        </is>
      </c>
    </row>
    <row r="24">
      <c r="A24" s="2" t="inlineStr">
        <is>
          <t>Légume · choux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4" t="inlineStr">
        <is>
          <t>Légume · choux</t>
        </is>
      </c>
      <c r="B25" s="5" t="inlineStr">
        <is>
          <t>Chou blanc (cabus)</t>
        </is>
      </c>
      <c r="C25" s="7" t="inlineStr">
        <is>
          <t>●</t>
        </is>
      </c>
      <c r="D25" s="7" t="inlineStr">
        <is>
          <t>●</t>
        </is>
      </c>
      <c r="E25" s="7" t="inlineStr">
        <is>
          <t>●</t>
        </is>
      </c>
      <c r="F25" s="6" t="inlineStr">
        <is>
          <t>●</t>
        </is>
      </c>
      <c r="G25" s="9" t="n"/>
      <c r="H25" s="6" t="inlineStr">
        <is>
          <t>●</t>
        </is>
      </c>
      <c r="I25" s="6" t="inlineStr">
        <is>
          <t>●</t>
        </is>
      </c>
      <c r="J25" s="6" t="inlineStr">
        <is>
          <t>●</t>
        </is>
      </c>
      <c r="K25" s="6" t="inlineStr">
        <is>
          <t>●</t>
        </is>
      </c>
      <c r="L25" s="7" t="inlineStr">
        <is>
          <t>●</t>
        </is>
      </c>
      <c r="M25" s="7" t="inlineStr">
        <is>
          <t>●</t>
        </is>
      </c>
      <c r="N25" s="7" t="inlineStr">
        <is>
          <t>●</t>
        </is>
      </c>
      <c r="O25" s="8" t="inlineStr">
        <is>
          <t>FL « Chou blanc » : juin-avr. (pleine oct.-nov.) · GP « Chou » : août-mars · IF « Chou pommé » : sept.-avr. (pleine oct.-mars) · BNA « choux » : toute l'année · SM (Chou blanc) : toute l'année · sept. seul : BM</t>
        </is>
      </c>
      <c r="P25" s="8" t="inlineStr"/>
    </row>
    <row r="26">
      <c r="A26" s="4" t="inlineStr">
        <is>
          <t>Légume · choux</t>
        </is>
      </c>
      <c r="B26" s="5" t="inlineStr">
        <is>
          <t>Chou rouge</t>
        </is>
      </c>
      <c r="C26" s="6" t="inlineStr">
        <is>
          <t>●</t>
        </is>
      </c>
      <c r="D26" s="6" t="inlineStr">
        <is>
          <t>●</t>
        </is>
      </c>
      <c r="E26" s="6" t="inlineStr">
        <is>
          <t>●</t>
        </is>
      </c>
      <c r="F26" s="6" t="inlineStr">
        <is>
          <t>●</t>
        </is>
      </c>
      <c r="G26" s="9" t="n"/>
      <c r="H26" s="6" t="inlineStr">
        <is>
          <t>●</t>
        </is>
      </c>
      <c r="I26" s="6" t="inlineStr">
        <is>
          <t>●</t>
        </is>
      </c>
      <c r="J26" s="6" t="inlineStr">
        <is>
          <t>●</t>
        </is>
      </c>
      <c r="K26" s="6" t="inlineStr">
        <is>
          <t>●</t>
        </is>
      </c>
      <c r="L26" s="7" t="inlineStr">
        <is>
          <t>●</t>
        </is>
      </c>
      <c r="M26" s="7" t="inlineStr">
        <is>
          <t>●</t>
        </is>
      </c>
      <c r="N26" s="6" t="inlineStr">
        <is>
          <t>●</t>
        </is>
      </c>
      <c r="O26" s="8" t="inlineStr">
        <is>
          <t>FL « Chou rouge » : juin-avr. (pleine oct.-nov.) · GP « Chou » : août-mars · IF « Chou rouge » : oct.-fév. · SM (Chou rouge) : toute l'année · sept. seul : GF</t>
        </is>
      </c>
      <c r="P26" s="8" t="inlineStr"/>
    </row>
    <row r="27">
      <c r="A27" s="4" t="inlineStr">
        <is>
          <t>Légume · choux</t>
        </is>
      </c>
      <c r="B27" s="5" t="inlineStr">
        <is>
          <t>Chou vert (cabus lisse)</t>
        </is>
      </c>
      <c r="C27" s="7" t="inlineStr">
        <is>
          <t>●</t>
        </is>
      </c>
      <c r="D27" s="7" t="inlineStr">
        <is>
          <t>●</t>
        </is>
      </c>
      <c r="E27" s="7" t="inlineStr">
        <is>
          <t>●</t>
        </is>
      </c>
      <c r="F27" s="6" t="inlineStr">
        <is>
          <t>●</t>
        </is>
      </c>
      <c r="G27" s="9" t="n"/>
      <c r="H27" s="9" t="n"/>
      <c r="I27" s="9" t="n"/>
      <c r="J27" s="6" t="inlineStr">
        <is>
          <t>●</t>
        </is>
      </c>
      <c r="K27" s="6" t="inlineStr">
        <is>
          <t>●</t>
        </is>
      </c>
      <c r="L27" s="7" t="inlineStr">
        <is>
          <t>●</t>
        </is>
      </c>
      <c r="M27" s="7" t="inlineStr">
        <is>
          <t>●</t>
        </is>
      </c>
      <c r="N27" s="7" t="inlineStr">
        <is>
          <t>●</t>
        </is>
      </c>
      <c r="O27" s="8" t="inlineStr">
        <is>
          <t>FL « Chou vert » : oct.-avr. (pleine jan.-fév.) · GP « Chou » : août-mars · IF « Chou pommé » : sept.-avr. (pleine oct.-mars) · BNA « choux » : toute l'année</t>
        </is>
      </c>
      <c r="P27" s="8" t="inlineStr"/>
    </row>
    <row r="28">
      <c r="A28" s="4" t="inlineStr">
        <is>
          <t>Légume · choux</t>
        </is>
      </c>
      <c r="B28" s="5" t="inlineStr">
        <is>
          <t>Chou vert frisé / chou de Milan</t>
        </is>
      </c>
      <c r="C28" s="7" t="inlineStr">
        <is>
          <t>●</t>
        </is>
      </c>
      <c r="D28" s="7" t="inlineStr">
        <is>
          <t>●</t>
        </is>
      </c>
      <c r="E28" s="6" t="inlineStr">
        <is>
          <t>●</t>
        </is>
      </c>
      <c r="F28" s="9" t="n"/>
      <c r="G28" s="6" t="inlineStr">
        <is>
          <t>●</t>
        </is>
      </c>
      <c r="H28" s="6" t="inlineStr">
        <is>
          <t>●</t>
        </is>
      </c>
      <c r="I28" s="6" t="inlineStr">
        <is>
          <t>●</t>
        </is>
      </c>
      <c r="J28" s="6" t="inlineStr">
        <is>
          <t>●</t>
        </is>
      </c>
      <c r="K28" s="6" t="inlineStr">
        <is>
          <t>●</t>
        </is>
      </c>
      <c r="L28" s="6" t="inlineStr">
        <is>
          <t>●</t>
        </is>
      </c>
      <c r="M28" s="6" t="inlineStr">
        <is>
          <t>●</t>
        </is>
      </c>
      <c r="N28" s="6" t="inlineStr">
        <is>
          <t>●</t>
        </is>
      </c>
      <c r="O28" s="8" t="inlineStr">
        <is>
          <t>FL « Chou frisé » : mai-mars (pleine jan.-fév.) · GP « Chou » : août-mars · SM (Chou frisé) : toute l'année</t>
        </is>
      </c>
      <c r="P28" s="8" t="inlineStr"/>
    </row>
    <row r="29">
      <c r="A29" s="4" t="inlineStr">
        <is>
          <t>Légume · choux</t>
        </is>
      </c>
      <c r="B29" s="5" t="inlineStr">
        <is>
          <t>Chou kale</t>
        </is>
      </c>
      <c r="C29" s="6" t="inlineStr">
        <is>
          <t>●</t>
        </is>
      </c>
      <c r="D29" s="6" t="inlineStr">
        <is>
          <t>●</t>
        </is>
      </c>
      <c r="E29" s="6" t="inlineStr">
        <is>
          <t>●</t>
        </is>
      </c>
      <c r="F29" s="9" t="n"/>
      <c r="G29" s="9" t="n"/>
      <c r="H29" s="9" t="n"/>
      <c r="I29" s="9" t="n"/>
      <c r="J29" s="9" t="n"/>
      <c r="K29" s="9" t="n"/>
      <c r="L29" s="6" t="inlineStr">
        <is>
          <t>●</t>
        </is>
      </c>
      <c r="M29" s="6" t="inlineStr">
        <is>
          <t>●</t>
        </is>
      </c>
      <c r="N29" s="6" t="inlineStr">
        <is>
          <t>●</t>
        </is>
      </c>
      <c r="O29" s="8" t="inlineStr">
        <is>
          <t>IF « Chou kale » : oct.-mars · SM (Chou kale) : oct.-mars · sept. seul : GF</t>
        </is>
      </c>
      <c r="P29" s="8" t="inlineStr">
        <is>
          <t>SM et Truffaut donnent oct.-mars : début de saison au mieux</t>
        </is>
      </c>
    </row>
    <row r="30">
      <c r="A30" s="4" t="inlineStr">
        <is>
          <t>Légume · choux</t>
        </is>
      </c>
      <c r="B30" s="5" t="inlineStr">
        <is>
          <t>Chou pointu</t>
        </is>
      </c>
      <c r="C30" s="6" t="inlineStr">
        <is>
          <t>●</t>
        </is>
      </c>
      <c r="D30" s="6" t="inlineStr">
        <is>
          <t>●</t>
        </is>
      </c>
      <c r="E30" s="9" t="n"/>
      <c r="F30" s="9" t="n"/>
      <c r="G30" s="9" t="n"/>
      <c r="H30" s="6" t="inlineStr">
        <is>
          <t>●</t>
        </is>
      </c>
      <c r="I30" s="6" t="inlineStr">
        <is>
          <t>●</t>
        </is>
      </c>
      <c r="J30" s="6" t="inlineStr">
        <is>
          <t>●</t>
        </is>
      </c>
      <c r="K30" s="6" t="inlineStr">
        <is>
          <t>●</t>
        </is>
      </c>
      <c r="L30" s="6" t="inlineStr">
        <is>
          <t>●</t>
        </is>
      </c>
      <c r="M30" s="6" t="inlineStr">
        <is>
          <t>●</t>
        </is>
      </c>
      <c r="N30" s="6" t="inlineStr">
        <is>
          <t>●</t>
        </is>
      </c>
      <c r="O30" s="8" t="inlineStr">
        <is>
          <t>SM (Chou pointu) : juin-fév.</t>
        </is>
      </c>
      <c r="P30" s="8" t="inlineStr"/>
    </row>
    <row r="31">
      <c r="A31" s="4" t="inlineStr">
        <is>
          <t>Légume · choux</t>
        </is>
      </c>
      <c r="B31" s="5" t="inlineStr">
        <is>
          <t>Chou de Bruxelles</t>
        </is>
      </c>
      <c r="C31" s="7" t="inlineStr">
        <is>
          <t>●</t>
        </is>
      </c>
      <c r="D31" s="7" t="inlineStr">
        <is>
          <t>●</t>
        </is>
      </c>
      <c r="E31" s="7" t="inlineStr">
        <is>
          <t>●</t>
        </is>
      </c>
      <c r="F31" s="9" t="n"/>
      <c r="G31" s="9" t="n"/>
      <c r="H31" s="9" t="n"/>
      <c r="I31" s="9" t="n"/>
      <c r="J31" s="9" t="n"/>
      <c r="K31" s="6" t="inlineStr">
        <is>
          <t>●</t>
        </is>
      </c>
      <c r="L31" s="7" t="inlineStr">
        <is>
          <t>●</t>
        </is>
      </c>
      <c r="M31" s="7" t="inlineStr">
        <is>
          <t>●</t>
        </is>
      </c>
      <c r="N31" s="7" t="inlineStr">
        <is>
          <t>●</t>
        </is>
      </c>
      <c r="O31" s="8" t="inlineStr">
        <is>
          <t>FL « Chou de Bruxelles » : août-jan. (pleine nov.-déc.) · GP « Chou » : août-mars · IF « Choux de Bruxelles » : sept.-mars (pleine oct.-mars) · BNA « choux de bruxelles » : sept.-fév. · SM (Choux de Bruxelles) : sept.-jan.</t>
        </is>
      </c>
      <c r="P31" s="8" t="inlineStr"/>
    </row>
    <row r="32">
      <c r="A32" s="4" t="inlineStr">
        <is>
          <t>Légume · choux</t>
        </is>
      </c>
      <c r="B32" s="5" t="inlineStr">
        <is>
          <t>Chou de Pontoise</t>
        </is>
      </c>
      <c r="C32" s="6" t="inlineStr">
        <is>
          <t>●</t>
        </is>
      </c>
      <c r="D32" s="6" t="inlineStr">
        <is>
          <t>●</t>
        </is>
      </c>
      <c r="E32" s="6" t="inlineStr">
        <is>
          <t>●</t>
        </is>
      </c>
      <c r="F32" s="9" t="n"/>
      <c r="G32" s="9" t="n"/>
      <c r="H32" s="9" t="n"/>
      <c r="I32" s="9" t="n"/>
      <c r="J32" s="9" t="n"/>
      <c r="K32" s="9" t="n"/>
      <c r="L32" s="6" t="inlineStr">
        <is>
          <t>●</t>
        </is>
      </c>
      <c r="M32" s="6" t="inlineStr">
        <is>
          <t>●</t>
        </is>
      </c>
      <c r="N32" s="6" t="inlineStr">
        <is>
          <t>●</t>
        </is>
      </c>
      <c r="O32" s="8" t="inlineStr">
        <is>
          <t>AGS (récolte mi-oct.-mi-mars (Deadon F1)) : oct.-mars</t>
        </is>
      </c>
      <c r="P32" s="8" t="inlineStr">
        <is>
          <t>Hiver, non vérifié ; Une seule source (semencier).</t>
        </is>
      </c>
    </row>
    <row r="33">
      <c r="A33" s="4" t="inlineStr">
        <is>
          <t>Légume · choux</t>
        </is>
      </c>
      <c r="B33" s="5" t="inlineStr">
        <is>
          <t>Chou-fleur</t>
        </is>
      </c>
      <c r="C33" s="7" t="inlineStr">
        <is>
          <t>●</t>
        </is>
      </c>
      <c r="D33" s="7" t="inlineStr">
        <is>
          <t>●</t>
        </is>
      </c>
      <c r="E33" s="7" t="inlineStr">
        <is>
          <t>●</t>
        </is>
      </c>
      <c r="F33" s="6" t="inlineStr">
        <is>
          <t>●</t>
        </is>
      </c>
      <c r="G33" s="6" t="inlineStr">
        <is>
          <t>●</t>
        </is>
      </c>
      <c r="H33" s="6" t="inlineStr">
        <is>
          <t>●</t>
        </is>
      </c>
      <c r="I33" s="6" t="inlineStr">
        <is>
          <t>●</t>
        </is>
      </c>
      <c r="J33" s="6" t="inlineStr">
        <is>
          <t>●</t>
        </is>
      </c>
      <c r="K33" s="7" t="inlineStr">
        <is>
          <t>●</t>
        </is>
      </c>
      <c r="L33" s="7" t="inlineStr">
        <is>
          <t>●</t>
        </is>
      </c>
      <c r="M33" s="7" t="inlineStr">
        <is>
          <t>●</t>
        </is>
      </c>
      <c r="N33" s="7" t="inlineStr">
        <is>
          <t>●</t>
        </is>
      </c>
      <c r="O33" s="8" t="inlineStr">
        <is>
          <t>FL « Chou-fleur » : mai-oct. (pleine sept.-oct.) · GP « Chou-fleur » : avr.-mai · IF « Chou-fleur » : sept.-avr. (pleine oct.-mars) · BNA « chou-fleur » : toute l'année · SM (Chou-fleur) : mai-nov. · sept. seul : DBB, CV, BM</t>
        </is>
      </c>
      <c r="P33" s="8" t="inlineStr"/>
    </row>
    <row r="34">
      <c r="A34" s="4" t="inlineStr">
        <is>
          <t>Légume · choux</t>
        </is>
      </c>
      <c r="B34" s="5" t="inlineStr">
        <is>
          <t>Chou-fleur coloré (vert, violet, orange)</t>
        </is>
      </c>
      <c r="C34" s="9" t="n"/>
      <c r="D34" s="9" t="n"/>
      <c r="E34" s="9" t="n"/>
      <c r="F34" s="9" t="n"/>
      <c r="G34" s="6" t="inlineStr">
        <is>
          <t>●</t>
        </is>
      </c>
      <c r="H34" s="6" t="inlineStr">
        <is>
          <t>●</t>
        </is>
      </c>
      <c r="I34" s="6" t="inlineStr">
        <is>
          <t>●</t>
        </is>
      </c>
      <c r="J34" s="6" t="inlineStr">
        <is>
          <t>●</t>
        </is>
      </c>
      <c r="K34" s="6" t="inlineStr">
        <is>
          <t>●</t>
        </is>
      </c>
      <c r="L34" s="6" t="inlineStr">
        <is>
          <t>●</t>
        </is>
      </c>
      <c r="M34" s="6" t="inlineStr">
        <is>
          <t>●</t>
        </is>
      </c>
      <c r="N34" s="9" t="n"/>
      <c r="O34" s="8" t="inlineStr">
        <is>
          <t>POU (vert mai-oct./nov. ; violet et orange juil.-oct.) : mai-nov. · sept. seul : DBB</t>
        </is>
      </c>
      <c r="P34" s="8" t="inlineStr"/>
    </row>
    <row r="35">
      <c r="A35" s="4" t="inlineStr">
        <is>
          <t>Légume · choux</t>
        </is>
      </c>
      <c r="B35" s="5" t="inlineStr">
        <is>
          <t>Chou romanesco</t>
        </is>
      </c>
      <c r="C35" s="9" t="n"/>
      <c r="D35" s="9" t="n"/>
      <c r="E35" s="9" t="n"/>
      <c r="F35" s="9" t="n"/>
      <c r="G35" s="9" t="n"/>
      <c r="H35" s="6" t="inlineStr">
        <is>
          <t>●</t>
        </is>
      </c>
      <c r="I35" s="6" t="inlineStr">
        <is>
          <t>●</t>
        </is>
      </c>
      <c r="J35" s="7" t="inlineStr">
        <is>
          <t>●</t>
        </is>
      </c>
      <c r="K35" s="7" t="inlineStr">
        <is>
          <t>●</t>
        </is>
      </c>
      <c r="L35" s="9" t="n"/>
      <c r="M35" s="9" t="n"/>
      <c r="N35" s="9" t="n"/>
      <c r="O35" s="8" t="inlineStr">
        <is>
          <t>FL « Chou Romanesco » : juin-sept. (pleine août-sept.) · GP « Chou romanesco » : juin · SM (Chou romanesco) : mai-nov. · sept. seul : DBB</t>
        </is>
      </c>
      <c r="P35" s="8" t="inlineStr"/>
    </row>
    <row r="36">
      <c r="A36" s="4" t="inlineStr">
        <is>
          <t>Légume · choux</t>
        </is>
      </c>
      <c r="B36" s="5" t="inlineStr">
        <is>
          <t>Brocoli</t>
        </is>
      </c>
      <c r="C36" s="7" t="inlineStr">
        <is>
          <t>●</t>
        </is>
      </c>
      <c r="D36" s="7" t="inlineStr">
        <is>
          <t>●</t>
        </is>
      </c>
      <c r="E36" s="9" t="n"/>
      <c r="F36" s="9" t="n"/>
      <c r="G36" s="7" t="inlineStr">
        <is>
          <t>●</t>
        </is>
      </c>
      <c r="H36" s="6" t="inlineStr">
        <is>
          <t>●</t>
        </is>
      </c>
      <c r="I36" s="6" t="inlineStr">
        <is>
          <t>●</t>
        </is>
      </c>
      <c r="J36" s="6" t="inlineStr">
        <is>
          <t>●</t>
        </is>
      </c>
      <c r="K36" s="7" t="inlineStr">
        <is>
          <t>●</t>
        </is>
      </c>
      <c r="L36" s="7" t="inlineStr">
        <is>
          <t>●</t>
        </is>
      </c>
      <c r="M36" s="7" t="inlineStr">
        <is>
          <t>●</t>
        </is>
      </c>
      <c r="N36" s="9" t="n"/>
      <c r="O36" s="8" t="inlineStr">
        <is>
          <t>FL « Brocoli » : juin-oct. (pleine sept.-oct.) · GP « Brocoli » : juin-nov. · IF « Brocoli » : sept.-juin (pleine oct.-mai) · BNA « brocoli » : jan.-fév., juin-juil., sept.-nov. · SM (Brocoli) : mai-nov. · sept. seul : GF, DBB, CV, BM, PG</t>
        </is>
      </c>
      <c r="P36" s="8" t="inlineStr"/>
    </row>
    <row r="37">
      <c r="A37" s="4" t="inlineStr">
        <is>
          <t>Légume · choux</t>
        </is>
      </c>
      <c r="B37" s="5" t="inlineStr">
        <is>
          <t>Brocoli à jets violet</t>
        </is>
      </c>
      <c r="C37" s="6" t="inlineStr">
        <is>
          <t>●</t>
        </is>
      </c>
      <c r="D37" s="6" t="inlineStr">
        <is>
          <t>●</t>
        </is>
      </c>
      <c r="E37" s="7" t="inlineStr">
        <is>
          <t>●</t>
        </is>
      </c>
      <c r="F37" s="7" t="inlineStr">
        <is>
          <t>●</t>
        </is>
      </c>
      <c r="G37" s="6" t="inlineStr">
        <is>
          <t>●</t>
        </is>
      </c>
      <c r="H37" s="9" t="n"/>
      <c r="I37" s="9" t="n"/>
      <c r="J37" s="9" t="n"/>
      <c r="K37" s="9" t="n"/>
      <c r="L37" s="9" t="n"/>
      <c r="M37" s="9" t="n"/>
      <c r="N37" s="9" t="n"/>
      <c r="O37" s="8" t="inlineStr">
        <is>
          <t>JDJ (têtes centrales dès janv., jets fév.-avr./mai ; Semailles : mars-avr.) : jan.-mai (pleine mars-avr.)</t>
        </is>
      </c>
      <c r="P37" s="8" t="inlineStr">
        <is>
          <t>Hiver-printemps, non vérifié</t>
        </is>
      </c>
    </row>
    <row r="38">
      <c r="A38" s="4" t="inlineStr">
        <is>
          <t>Légume · choux</t>
        </is>
      </c>
      <c r="B38" s="5" t="inlineStr">
        <is>
          <t>Chou-rave</t>
        </is>
      </c>
      <c r="C38" s="9" t="n"/>
      <c r="D38" s="9" t="n"/>
      <c r="E38" s="6" t="inlineStr">
        <is>
          <t>●</t>
        </is>
      </c>
      <c r="F38" s="6" t="inlineStr">
        <is>
          <t>●</t>
        </is>
      </c>
      <c r="G38" s="6" t="inlineStr">
        <is>
          <t>●</t>
        </is>
      </c>
      <c r="H38" s="7" t="inlineStr">
        <is>
          <t>●</t>
        </is>
      </c>
      <c r="I38" s="6" t="inlineStr">
        <is>
          <t>●</t>
        </is>
      </c>
      <c r="J38" s="6" t="inlineStr">
        <is>
          <t>●</t>
        </is>
      </c>
      <c r="K38" s="6" t="inlineStr">
        <is>
          <t>●</t>
        </is>
      </c>
      <c r="L38" s="7" t="inlineStr">
        <is>
          <t>●</t>
        </is>
      </c>
      <c r="M38" s="6" t="inlineStr">
        <is>
          <t>●</t>
        </is>
      </c>
      <c r="N38" s="9" t="n"/>
      <c r="O38" s="8" t="inlineStr">
        <is>
          <t>FL « Chou-rave » : mars-nov. (pleine juin, oct.) · SM (Colrave) : avr.-nov.</t>
        </is>
      </c>
      <c r="P38" s="8" t="inlineStr"/>
    </row>
    <row r="39">
      <c r="A39" s="4" t="inlineStr">
        <is>
          <t>Légume · choux</t>
        </is>
      </c>
      <c r="B39" s="5" t="inlineStr">
        <is>
          <t>Chou chinois (pé-tsaï)</t>
        </is>
      </c>
      <c r="C39" s="6" t="inlineStr">
        <is>
          <t>●</t>
        </is>
      </c>
      <c r="D39" s="6" t="inlineStr">
        <is>
          <t>●</t>
        </is>
      </c>
      <c r="E39" s="6" t="inlineStr">
        <is>
          <t>●</t>
        </is>
      </c>
      <c r="F39" s="9" t="n"/>
      <c r="G39" s="6" t="inlineStr">
        <is>
          <t>●</t>
        </is>
      </c>
      <c r="H39" s="6" t="inlineStr">
        <is>
          <t>●</t>
        </is>
      </c>
      <c r="I39" s="6" t="inlineStr">
        <is>
          <t>●</t>
        </is>
      </c>
      <c r="J39" s="6" t="inlineStr">
        <is>
          <t>●</t>
        </is>
      </c>
      <c r="K39" s="7" t="inlineStr">
        <is>
          <t>●</t>
        </is>
      </c>
      <c r="L39" s="7" t="inlineStr">
        <is>
          <t>●</t>
        </is>
      </c>
      <c r="M39" s="6" t="inlineStr">
        <is>
          <t>●</t>
        </is>
      </c>
      <c r="N39" s="6" t="inlineStr">
        <is>
          <t>●</t>
        </is>
      </c>
      <c r="O39" s="8" t="inlineStr">
        <is>
          <t>FL « Chou-chinois » : mai-fév. (pleine sept.-oct.) · SM (Chou chinois) : mai-mars</t>
        </is>
      </c>
      <c r="P39" s="8" t="inlineStr"/>
    </row>
    <row r="40">
      <c r="A40" s="4" t="inlineStr">
        <is>
          <t>Légume · choux</t>
        </is>
      </c>
      <c r="B40" s="5" t="inlineStr">
        <is>
          <t>Pak choï</t>
        </is>
      </c>
      <c r="C40" s="9" t="n"/>
      <c r="D40" s="9" t="n"/>
      <c r="E40" s="9" t="n"/>
      <c r="F40" s="6" t="inlineStr">
        <is>
          <t>●</t>
        </is>
      </c>
      <c r="G40" s="6" t="inlineStr">
        <is>
          <t>●</t>
        </is>
      </c>
      <c r="H40" s="6" t="inlineStr">
        <is>
          <t>●</t>
        </is>
      </c>
      <c r="I40" s="6" t="inlineStr">
        <is>
          <t>●</t>
        </is>
      </c>
      <c r="J40" s="6" t="inlineStr">
        <is>
          <t>●</t>
        </is>
      </c>
      <c r="K40" s="6" t="inlineStr">
        <is>
          <t>●</t>
        </is>
      </c>
      <c r="L40" s="7" t="inlineStr">
        <is>
          <t>●</t>
        </is>
      </c>
      <c r="M40" s="7" t="inlineStr">
        <is>
          <t>●</t>
        </is>
      </c>
      <c r="N40" s="9" t="n"/>
      <c r="O40" s="8" t="inlineStr">
        <is>
          <t>FL « Pak choï » : mai-juin, sept.-nov. (pleine oct.-nov.) · SM (Pak choï) : avr.-nov.</t>
        </is>
      </c>
      <c r="P40" s="8" t="inlineStr"/>
    </row>
    <row r="41">
      <c r="A41" s="4" t="inlineStr">
        <is>
          <t>Légume · choux</t>
        </is>
      </c>
      <c r="B41" s="5" t="inlineStr">
        <is>
          <t>Cima di rapa (brocoli-rave)</t>
        </is>
      </c>
      <c r="C41" s="6" t="inlineStr">
        <is>
          <t>●</t>
        </is>
      </c>
      <c r="D41" s="7" t="inlineStr">
        <is>
          <t>●</t>
        </is>
      </c>
      <c r="E41" s="6" t="inlineStr">
        <is>
          <t>●</t>
        </is>
      </c>
      <c r="F41" s="6" t="inlineStr">
        <is>
          <t>●</t>
        </is>
      </c>
      <c r="G41" s="6" t="inlineStr">
        <is>
          <t>●</t>
        </is>
      </c>
      <c r="H41" s="6" t="inlineStr">
        <is>
          <t>●</t>
        </is>
      </c>
      <c r="I41" s="6" t="inlineStr">
        <is>
          <t>●</t>
        </is>
      </c>
      <c r="J41" s="6" t="inlineStr">
        <is>
          <t>●</t>
        </is>
      </c>
      <c r="K41" s="6" t="inlineStr">
        <is>
          <t>●</t>
        </is>
      </c>
      <c r="L41" s="6" t="inlineStr">
        <is>
          <t>●</t>
        </is>
      </c>
      <c r="M41" s="7" t="inlineStr">
        <is>
          <t>●</t>
        </is>
      </c>
      <c r="N41" s="6" t="inlineStr">
        <is>
          <t>●</t>
        </is>
      </c>
      <c r="O41" s="8" t="inlineStr">
        <is>
          <t>FL « Cima di Rapa » : oct.-mars (pleine fév., nov.) · SM (Cima di rapa) : avr.-oct.</t>
        </is>
      </c>
      <c r="P41" s="8" t="inlineStr">
        <is>
          <t>FL l'exclut en septembre (jan.-mars, oct.-déc.)</t>
        </is>
      </c>
    </row>
    <row r="42">
      <c r="A42" s="4" t="inlineStr">
        <is>
          <t>Légume · choux</t>
        </is>
      </c>
      <c r="B42" s="5" t="inlineStr">
        <is>
          <t>Kalettes (chou-fleur de Bruxelles)</t>
        </is>
      </c>
      <c r="C42" s="6" t="inlineStr">
        <is>
          <t>●</t>
        </is>
      </c>
      <c r="D42" s="6" t="inlineStr">
        <is>
          <t>●</t>
        </is>
      </c>
      <c r="E42" s="6" t="inlineStr">
        <is>
          <t>●</t>
        </is>
      </c>
      <c r="F42" s="9" t="n"/>
      <c r="G42" s="9" t="n"/>
      <c r="H42" s="9" t="n"/>
      <c r="I42" s="9" t="n"/>
      <c r="J42" s="9" t="n"/>
      <c r="K42" s="9" t="n"/>
      <c r="L42" s="9" t="n"/>
      <c r="M42" s="6" t="inlineStr">
        <is>
          <t>●</t>
        </is>
      </c>
      <c r="N42" s="6" t="inlineStr">
        <is>
          <t>●</t>
        </is>
      </c>
      <c r="O42" s="8" t="inlineStr">
        <is>
          <t>SM (Kalettes) : nov.-mars</t>
        </is>
      </c>
      <c r="P42" s="8" t="inlineStr"/>
    </row>
    <row r="43">
      <c r="A43" s="2" t="inlineStr">
        <is>
          <t>Légume · courges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4" t="inlineStr">
        <is>
          <t>Légume · courges</t>
        </is>
      </c>
      <c r="B44" s="5" t="inlineStr">
        <is>
          <t>Courgette</t>
        </is>
      </c>
      <c r="C44" s="9" t="n"/>
      <c r="D44" s="9" t="n"/>
      <c r="E44" s="9" t="n"/>
      <c r="F44" s="9" t="n"/>
      <c r="G44" s="7" t="inlineStr">
        <is>
          <t>●</t>
        </is>
      </c>
      <c r="H44" s="7" t="inlineStr">
        <is>
          <t>●</t>
        </is>
      </c>
      <c r="I44" s="7" t="inlineStr">
        <is>
          <t>●</t>
        </is>
      </c>
      <c r="J44" s="7" t="inlineStr">
        <is>
          <t>●</t>
        </is>
      </c>
      <c r="K44" s="7" t="inlineStr">
        <is>
          <t>●</t>
        </is>
      </c>
      <c r="L44" s="6" t="inlineStr">
        <is>
          <t>●</t>
        </is>
      </c>
      <c r="M44" s="9" t="n"/>
      <c r="N44" s="9" t="n"/>
      <c r="O44" s="8" t="inlineStr">
        <is>
          <t>FL « Courgette » : juin-sept. (pleine juil.-août) · GP « Courgette » : mai-oct. · IF « Courgette » : toute l'année (pleine mars-sept.) · BNA « courgette » : mai-oct. · sept. seul : GF, DBB, CV, BM</t>
        </is>
      </c>
      <c r="P44" s="8" t="inlineStr"/>
    </row>
    <row r="45">
      <c r="A45" s="4" t="inlineStr">
        <is>
          <t>Légume · courges</t>
        </is>
      </c>
      <c r="B45" s="5" t="inlineStr">
        <is>
          <t>Courgette ronde / jaune</t>
        </is>
      </c>
      <c r="C45" s="9" t="n"/>
      <c r="D45" s="9" t="n"/>
      <c r="E45" s="9" t="n"/>
      <c r="F45" s="9" t="n"/>
      <c r="G45" s="7" t="inlineStr">
        <is>
          <t>●</t>
        </is>
      </c>
      <c r="H45" s="7" t="inlineStr">
        <is>
          <t>●</t>
        </is>
      </c>
      <c r="I45" s="7" t="inlineStr">
        <is>
          <t>●</t>
        </is>
      </c>
      <c r="J45" s="7" t="inlineStr">
        <is>
          <t>●</t>
        </is>
      </c>
      <c r="K45" s="7" t="inlineStr">
        <is>
          <t>●</t>
        </is>
      </c>
      <c r="L45" s="6" t="inlineStr">
        <is>
          <t>●</t>
        </is>
      </c>
      <c r="M45" s="9" t="n"/>
      <c r="N45" s="9" t="n"/>
      <c r="O45" s="8">
        <f> Courgette (assimilé)</f>
        <v/>
      </c>
      <c r="P45" s="8" t="inlineStr"/>
    </row>
    <row r="46">
      <c r="A46" s="4" t="inlineStr">
        <is>
          <t>Légume · courges</t>
        </is>
      </c>
      <c r="B46" s="5" t="inlineStr">
        <is>
          <t>Fleur de courgette</t>
        </is>
      </c>
      <c r="C46" s="9" t="n"/>
      <c r="D46" s="9" t="n"/>
      <c r="E46" s="9" t="n"/>
      <c r="F46" s="6" t="inlineStr">
        <is>
          <t>●</t>
        </is>
      </c>
      <c r="G46" s="6" t="inlineStr">
        <is>
          <t>●</t>
        </is>
      </c>
      <c r="H46" s="6" t="inlineStr">
        <is>
          <t>●</t>
        </is>
      </c>
      <c r="I46" s="6" t="inlineStr">
        <is>
          <t>●</t>
        </is>
      </c>
      <c r="J46" s="6" t="inlineStr">
        <is>
          <t>●</t>
        </is>
      </c>
      <c r="K46" s="6" t="inlineStr">
        <is>
          <t>●</t>
        </is>
      </c>
      <c r="L46" s="6" t="inlineStr">
        <is>
          <t>●</t>
        </is>
      </c>
      <c r="M46" s="9" t="n"/>
      <c r="N46" s="9" t="n"/>
      <c r="O46" s="8" t="inlineStr">
        <is>
          <t>JM (avr.-oct. selon climat) : avr.-oct.</t>
        </is>
      </c>
      <c r="P46" s="8" t="inlineStr">
        <is>
          <t>Aucune source consultée</t>
        </is>
      </c>
    </row>
    <row r="47">
      <c r="A47" s="4" t="inlineStr">
        <is>
          <t>Légume · courges</t>
        </is>
      </c>
      <c r="B47" s="5" t="inlineStr">
        <is>
          <t>Pâtisson</t>
        </is>
      </c>
      <c r="C47" s="9" t="n"/>
      <c r="D47" s="9" t="n"/>
      <c r="E47" s="9" t="n"/>
      <c r="F47" s="9" t="n"/>
      <c r="G47" s="9" t="n"/>
      <c r="H47" s="9" t="n"/>
      <c r="I47" s="6" t="inlineStr">
        <is>
          <t>●</t>
        </is>
      </c>
      <c r="J47" s="7" t="inlineStr">
        <is>
          <t>●</t>
        </is>
      </c>
      <c r="K47" s="7" t="inlineStr">
        <is>
          <t>●</t>
        </is>
      </c>
      <c r="L47" s="6" t="inlineStr">
        <is>
          <t>●</t>
        </is>
      </c>
      <c r="M47" s="9" t="n"/>
      <c r="N47" s="9" t="n"/>
      <c r="O47" s="8" t="inlineStr">
        <is>
          <t>FL « Pâtisson » : juil.-sept. (pleine août-sept.) · ML (Pâtisson) : août-oct.</t>
        </is>
      </c>
      <c r="P47" s="8" t="inlineStr"/>
    </row>
    <row r="48">
      <c r="A48" s="4" t="inlineStr">
        <is>
          <t>Légume · courges</t>
        </is>
      </c>
      <c r="B48" s="5" t="inlineStr">
        <is>
          <t>Potimarron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6" t="inlineStr">
        <is>
          <t>●</t>
        </is>
      </c>
      <c r="L48" s="7" t="inlineStr">
        <is>
          <t>●</t>
        </is>
      </c>
      <c r="M48" s="7" t="inlineStr">
        <is>
          <t>●</t>
        </is>
      </c>
      <c r="N48" s="6" t="inlineStr">
        <is>
          <t>●</t>
        </is>
      </c>
      <c r="O48" s="8" t="inlineStr">
        <is>
          <t>FL « Potimarron » : oct.-nov. (pleine oct.-nov.) · ML (Potimarron) : sept.-déc. · BNA « potimarron » : juil.-mars · sept. seul : GF, BM</t>
        </is>
      </c>
      <c r="P48" s="8" t="inlineStr">
        <is>
          <t>FL ne le met qu'en oct.-nov.</t>
        </is>
      </c>
    </row>
    <row r="49">
      <c r="A49" s="4" t="inlineStr">
        <is>
          <t>Légume · courges</t>
        </is>
      </c>
      <c r="B49" s="5" t="inlineStr">
        <is>
          <t>Potiron</t>
        </is>
      </c>
      <c r="C49" s="7" t="inlineStr">
        <is>
          <t>●</t>
        </is>
      </c>
      <c r="D49" s="9" t="n"/>
      <c r="E49" s="9" t="n"/>
      <c r="F49" s="9" t="n"/>
      <c r="G49" s="9" t="n"/>
      <c r="H49" s="9" t="n"/>
      <c r="I49" s="9" t="n"/>
      <c r="J49" s="6" t="inlineStr">
        <is>
          <t>●</t>
        </is>
      </c>
      <c r="K49" s="7" t="inlineStr">
        <is>
          <t>●</t>
        </is>
      </c>
      <c r="L49" s="7" t="inlineStr">
        <is>
          <t>●</t>
        </is>
      </c>
      <c r="M49" s="7" t="inlineStr">
        <is>
          <t>●</t>
        </is>
      </c>
      <c r="N49" s="7" t="inlineStr">
        <is>
          <t>●</t>
        </is>
      </c>
      <c r="O49" s="8" t="inlineStr">
        <is>
          <t>FL « Potiron » : juil.-oct. (pleine sept.-oct.) · IF « Potiron » : sept.-mars (pleine oct.-fév.) · GP « Potiron » : sept. · GP « Courge » : août-jan. · BNA « potiron » : août-mars · ML (Potiron) : oct.-jan. · sept. seul : GF, BM, PG, CV</t>
        </is>
      </c>
      <c r="P49" s="8" t="inlineStr">
        <is>
          <t>ML donne oct.-jan.</t>
        </is>
      </c>
    </row>
    <row r="50">
      <c r="A50" s="4" t="inlineStr">
        <is>
          <t>Légume · courges</t>
        </is>
      </c>
      <c r="B50" s="5" t="inlineStr">
        <is>
          <t>Citrouille</t>
        </is>
      </c>
      <c r="C50" s="6" t="inlineStr">
        <is>
          <t>●</t>
        </is>
      </c>
      <c r="D50" s="6" t="inlineStr">
        <is>
          <t>●</t>
        </is>
      </c>
      <c r="E50" s="9" t="n"/>
      <c r="F50" s="9" t="n"/>
      <c r="G50" s="9" t="n"/>
      <c r="H50" s="9" t="n"/>
      <c r="I50" s="9" t="n"/>
      <c r="J50" s="9" t="n"/>
      <c r="K50" s="6" t="inlineStr">
        <is>
          <t>●</t>
        </is>
      </c>
      <c r="L50" s="7" t="inlineStr">
        <is>
          <t>●</t>
        </is>
      </c>
      <c r="M50" s="7" t="inlineStr">
        <is>
          <t>●</t>
        </is>
      </c>
      <c r="N50" s="6" t="inlineStr">
        <is>
          <t>●</t>
        </is>
      </c>
      <c r="O50" s="8" t="inlineStr">
        <is>
          <t>FL « Citrouille » : sept.-fév. (pleine oct.-nov.) · ML (Citrouille) : oct.-jan.</t>
        </is>
      </c>
      <c r="P50" s="8" t="inlineStr">
        <is>
          <t>ML donne oct.-jan.</t>
        </is>
      </c>
    </row>
    <row r="51">
      <c r="A51" s="4" t="inlineStr">
        <is>
          <t>Légume · courges</t>
        </is>
      </c>
      <c r="B51" s="5" t="inlineStr">
        <is>
          <t>Butternut (doubeurre)</t>
        </is>
      </c>
      <c r="C51" s="6" t="inlineStr">
        <is>
          <t>●</t>
        </is>
      </c>
      <c r="D51" s="6" t="inlineStr">
        <is>
          <t>●</t>
        </is>
      </c>
      <c r="E51" s="6" t="inlineStr">
        <is>
          <t>●</t>
        </is>
      </c>
      <c r="F51" s="9" t="n"/>
      <c r="G51" s="9" t="n"/>
      <c r="H51" s="9" t="n"/>
      <c r="I51" s="9" t="n"/>
      <c r="J51" s="9" t="n"/>
      <c r="K51" s="6" t="inlineStr">
        <is>
          <t>●</t>
        </is>
      </c>
      <c r="L51" s="7" t="inlineStr">
        <is>
          <t>●</t>
        </is>
      </c>
      <c r="M51" s="7" t="inlineStr">
        <is>
          <t>●</t>
        </is>
      </c>
      <c r="N51" s="6" t="inlineStr">
        <is>
          <t>●</t>
        </is>
      </c>
      <c r="O51" s="8" t="inlineStr">
        <is>
          <t>FL « Butternut » : sept.-fév. (pleine oct.-nov.) · ML (Butternut) : sept.-mars</t>
        </is>
      </c>
      <c r="P51" s="8" t="inlineStr"/>
    </row>
    <row r="52">
      <c r="A52" s="4" t="inlineStr">
        <is>
          <t>Légume · courges</t>
        </is>
      </c>
      <c r="B52" s="5" t="inlineStr">
        <is>
          <t>Courge spaghetti</t>
        </is>
      </c>
      <c r="C52" s="9" t="n"/>
      <c r="D52" s="9" t="n"/>
      <c r="E52" s="9" t="n"/>
      <c r="F52" s="9" t="n"/>
      <c r="G52" s="9" t="n"/>
      <c r="H52" s="9" t="n"/>
      <c r="I52" s="9" t="n"/>
      <c r="J52" s="9" t="n"/>
      <c r="K52" s="6" t="inlineStr">
        <is>
          <t>●</t>
        </is>
      </c>
      <c r="L52" s="7" t="inlineStr">
        <is>
          <t>●</t>
        </is>
      </c>
      <c r="M52" s="6" t="inlineStr">
        <is>
          <t>●</t>
        </is>
      </c>
      <c r="N52" s="9" t="n"/>
      <c r="O52" s="8" t="inlineStr">
        <is>
          <t>FL « Courge spaghetti » : sept.-nov. (pleine oct.) · ML (Courge spaghetti) : sept.-nov.</t>
        </is>
      </c>
      <c r="P52" s="8" t="inlineStr"/>
    </row>
    <row r="53">
      <c r="A53" s="4" t="inlineStr">
        <is>
          <t>Légume · courges</t>
        </is>
      </c>
      <c r="B53" s="5" t="inlineStr">
        <is>
          <t>Courge musquée de Provence</t>
        </is>
      </c>
      <c r="C53" s="6" t="inlineStr">
        <is>
          <t>●</t>
        </is>
      </c>
      <c r="D53" s="6" t="inlineStr">
        <is>
          <t>●</t>
        </is>
      </c>
      <c r="E53" s="9" t="n"/>
      <c r="F53" s="9" t="n"/>
      <c r="G53" s="9" t="n"/>
      <c r="H53" s="9" t="n"/>
      <c r="I53" s="6" t="inlineStr">
        <is>
          <t>●</t>
        </is>
      </c>
      <c r="J53" s="6" t="inlineStr">
        <is>
          <t>●</t>
        </is>
      </c>
      <c r="K53" s="6" t="inlineStr">
        <is>
          <t>●</t>
        </is>
      </c>
      <c r="L53" s="7" t="inlineStr">
        <is>
          <t>●</t>
        </is>
      </c>
      <c r="M53" s="7" t="inlineStr">
        <is>
          <t>●</t>
        </is>
      </c>
      <c r="N53" s="6" t="inlineStr">
        <is>
          <t>●</t>
        </is>
      </c>
      <c r="O53" s="8" t="inlineStr">
        <is>
          <t>FL « Courge musquée » : sept.-fév. (pleine oct.-nov.) · ML (Courge musquée de Provence) : juil.-nov.</t>
        </is>
      </c>
      <c r="P53" s="8" t="inlineStr"/>
    </row>
    <row r="54">
      <c r="A54" s="4" t="inlineStr">
        <is>
          <t>Légume · courges</t>
        </is>
      </c>
      <c r="B54" s="5" t="inlineStr">
        <is>
          <t>Courge longue de Nice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6" t="inlineStr">
        <is>
          <t>●</t>
        </is>
      </c>
      <c r="L54" s="6" t="inlineStr">
        <is>
          <t>●</t>
        </is>
      </c>
      <c r="M54" s="6" t="inlineStr">
        <is>
          <t>●</t>
        </is>
      </c>
      <c r="N54" s="9" t="n"/>
      <c r="O54" s="8" t="inlineStr">
        <is>
          <t>ML (Courge de Nice) : sept.-nov.</t>
        </is>
      </c>
      <c r="P54" s="8" t="inlineStr"/>
    </row>
    <row r="55">
      <c r="A55" s="4" t="inlineStr">
        <is>
          <t>Légume · courges</t>
        </is>
      </c>
      <c r="B55" s="5" t="inlineStr">
        <is>
          <t>Sucrine du Berry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6" t="inlineStr">
        <is>
          <t>●</t>
        </is>
      </c>
      <c r="L55" s="7" t="inlineStr">
        <is>
          <t>●</t>
        </is>
      </c>
      <c r="M55" s="6" t="inlineStr">
        <is>
          <t>●</t>
        </is>
      </c>
      <c r="N55" s="9" t="n"/>
      <c r="O55" s="8" t="inlineStr">
        <is>
          <t>FL « Sucrine du Berry » : sept.-nov. (pleine oct.)</t>
        </is>
      </c>
      <c r="P55" s="8" t="inlineStr"/>
    </row>
    <row r="56">
      <c r="A56" s="4" t="inlineStr">
        <is>
          <t>Légume · courges</t>
        </is>
      </c>
      <c r="B56" s="5" t="inlineStr">
        <is>
          <t>Courge (autres : Jack be little, Delicata, Bleue de Hongrie, Hokkaido…)</t>
        </is>
      </c>
      <c r="C56" s="7" t="inlineStr">
        <is>
          <t>●</t>
        </is>
      </c>
      <c r="D56" s="7" t="inlineStr">
        <is>
          <t>●</t>
        </is>
      </c>
      <c r="E56" s="9" t="n"/>
      <c r="F56" s="9" t="n"/>
      <c r="G56" s="9" t="n"/>
      <c r="H56" s="9" t="n"/>
      <c r="I56" s="9" t="n"/>
      <c r="J56" s="6" t="inlineStr">
        <is>
          <t>●</t>
        </is>
      </c>
      <c r="K56" s="7" t="inlineStr">
        <is>
          <t>●</t>
        </is>
      </c>
      <c r="L56" s="7" t="inlineStr">
        <is>
          <t>●</t>
        </is>
      </c>
      <c r="M56" s="7" t="inlineStr">
        <is>
          <t>●</t>
        </is>
      </c>
      <c r="N56" s="7" t="inlineStr">
        <is>
          <t>●</t>
        </is>
      </c>
      <c r="O56" s="8" t="inlineStr">
        <is>
          <t>FL « Courge » : août-déc. (pleine sept.-oct.) · GP « Courge » : août-jan. · IF « Courges et potirons » : sept.-mars (pleine oct.-fév.) · BNA « courge » : sept.-fév.</t>
        </is>
      </c>
      <c r="P56" s="8" t="inlineStr"/>
    </row>
    <row r="57">
      <c r="A57" s="4" t="inlineStr">
        <is>
          <t>Légume · courges</t>
        </is>
      </c>
      <c r="B57" s="5" t="inlineStr">
        <is>
          <t>Chayotte (christophine)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6" t="inlineStr">
        <is>
          <t>●</t>
        </is>
      </c>
      <c r="L57" s="7" t="inlineStr">
        <is>
          <t>●</t>
        </is>
      </c>
      <c r="M57" s="7" t="inlineStr">
        <is>
          <t>●</t>
        </is>
      </c>
      <c r="N57" s="9" t="n"/>
      <c r="O57" s="8" t="inlineStr">
        <is>
          <t>FL « Chayote » : sept.-nov. (pleine oct.-nov.)</t>
        </is>
      </c>
      <c r="P57" s="8" t="inlineStr"/>
    </row>
    <row r="58">
      <c r="A58" s="4" t="inlineStr">
        <is>
          <t>Légume · courges</t>
        </is>
      </c>
      <c r="B58" s="5" t="inlineStr">
        <is>
          <t>Concombre</t>
        </is>
      </c>
      <c r="C58" s="9" t="n"/>
      <c r="D58" s="9" t="n"/>
      <c r="E58" s="9" t="n"/>
      <c r="F58" s="7" t="inlineStr">
        <is>
          <t>●</t>
        </is>
      </c>
      <c r="G58" s="7" t="inlineStr">
        <is>
          <t>●</t>
        </is>
      </c>
      <c r="H58" s="7" t="inlineStr">
        <is>
          <t>●</t>
        </is>
      </c>
      <c r="I58" s="7" t="inlineStr">
        <is>
          <t>●</t>
        </is>
      </c>
      <c r="J58" s="7" t="inlineStr">
        <is>
          <t>●</t>
        </is>
      </c>
      <c r="K58" s="6" t="inlineStr">
        <is>
          <t>●</t>
        </is>
      </c>
      <c r="L58" s="6" t="inlineStr">
        <is>
          <t>●</t>
        </is>
      </c>
      <c r="M58" s="9" t="n"/>
      <c r="N58" s="9" t="n"/>
      <c r="O58" s="8" t="inlineStr">
        <is>
          <t>FL « Concombre » : mai-sept. (pleine juil.-août) · GP « Concombre » : avr.-juil., sept.-oct. · IF « Concombre » : mars-oct. (pleine avr.-août) · BNA « concombre » : mai-oct. · sept. seul : DBB, CV, BM</t>
        </is>
      </c>
      <c r="P58" s="8" t="inlineStr"/>
    </row>
    <row r="59">
      <c r="A59" s="4" t="inlineStr">
        <is>
          <t>Légume · courges</t>
        </is>
      </c>
      <c r="B59" s="5" t="inlineStr">
        <is>
          <t>Cornichon</t>
        </is>
      </c>
      <c r="C59" s="9" t="n"/>
      <c r="D59" s="9" t="n"/>
      <c r="E59" s="9" t="n"/>
      <c r="F59" s="9" t="n"/>
      <c r="G59" s="9" t="n"/>
      <c r="H59" s="9" t="n"/>
      <c r="I59" s="9" t="n"/>
      <c r="J59" s="6" t="inlineStr">
        <is>
          <t>●</t>
        </is>
      </c>
      <c r="K59" s="6" t="inlineStr">
        <is>
          <t>●</t>
        </is>
      </c>
      <c r="L59" s="6" t="inlineStr">
        <is>
          <t>●</t>
        </is>
      </c>
      <c r="M59" s="9" t="n"/>
      <c r="N59" s="9" t="n"/>
      <c r="O59" s="8" t="inlineStr">
        <is>
          <t>TV (août-oct. selon la date de semis ; juin/juil.-sept. via résumé (Kokopelli)) : août-oct.</t>
        </is>
      </c>
      <c r="P59" s="8" t="inlineStr">
        <is>
          <t>Aucune source consultée ; Terre Vivante seule lue ; Kokopelli (juin/juil.-sept.) via résumé.</t>
        </is>
      </c>
    </row>
    <row r="60">
      <c r="A60" s="2" t="inlineStr">
        <is>
          <t>Légume · solanacées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</row>
    <row r="61">
      <c r="A61" s="4" t="inlineStr">
        <is>
          <t>Légume · solanacées</t>
        </is>
      </c>
      <c r="B61" s="5" t="inlineStr">
        <is>
          <t>Tomate ronde / grappe</t>
        </is>
      </c>
      <c r="C61" s="9" t="n"/>
      <c r="D61" s="9" t="n"/>
      <c r="E61" s="9" t="n"/>
      <c r="F61" s="9" t="n"/>
      <c r="G61" s="7" t="inlineStr">
        <is>
          <t>●</t>
        </is>
      </c>
      <c r="H61" s="7" t="inlineStr">
        <is>
          <t>●</t>
        </is>
      </c>
      <c r="I61" s="7" t="inlineStr">
        <is>
          <t>●</t>
        </is>
      </c>
      <c r="J61" s="7" t="inlineStr">
        <is>
          <t>●</t>
        </is>
      </c>
      <c r="K61" s="6" t="inlineStr">
        <is>
          <t>●</t>
        </is>
      </c>
      <c r="L61" s="6" t="inlineStr">
        <is>
          <t>●</t>
        </is>
      </c>
      <c r="M61" s="9" t="n"/>
      <c r="N61" s="9" t="n"/>
      <c r="O61" s="8" t="inlineStr">
        <is>
          <t>FL « Tomate » : juin-sept. (pleine juil.-août) · GP « Tomate » : mai-oct. · IF « Tomate » : mars-oct. (pleine avr.-août) · BNA « tomate » : juin-oct. · sept. seul : GF, DBB, CV, BM</t>
        </is>
      </c>
      <c r="P61" s="8" t="inlineStr">
        <is>
          <t>Pleine saison juil.-août (FL)</t>
        </is>
      </c>
    </row>
    <row r="62">
      <c r="A62" s="4" t="inlineStr">
        <is>
          <t>Légume · solanacées</t>
        </is>
      </c>
      <c r="B62" s="5" t="inlineStr">
        <is>
          <t>Tomate cerise / cocktail</t>
        </is>
      </c>
      <c r="C62" s="9" t="n"/>
      <c r="D62" s="9" t="n"/>
      <c r="E62" s="9" t="n"/>
      <c r="F62" s="9" t="n"/>
      <c r="G62" s="7" t="inlineStr">
        <is>
          <t>●</t>
        </is>
      </c>
      <c r="H62" s="7" t="inlineStr">
        <is>
          <t>●</t>
        </is>
      </c>
      <c r="I62" s="7" t="inlineStr">
        <is>
          <t>●</t>
        </is>
      </c>
      <c r="J62" s="7" t="inlineStr">
        <is>
          <t>●</t>
        </is>
      </c>
      <c r="K62" s="6" t="inlineStr">
        <is>
          <t>●</t>
        </is>
      </c>
      <c r="L62" s="6" t="inlineStr">
        <is>
          <t>●</t>
        </is>
      </c>
      <c r="M62" s="9" t="n"/>
      <c r="N62" s="9" t="n"/>
      <c r="O62" s="8">
        <f> Tomate ronde / grappe (assimilé)</f>
        <v/>
      </c>
      <c r="P62" s="8" t="inlineStr"/>
    </row>
    <row r="63">
      <c r="A63" s="4" t="inlineStr">
        <is>
          <t>Légume · solanacées</t>
        </is>
      </c>
      <c r="B63" s="5" t="inlineStr">
        <is>
          <t>Tomate cœur de bœuf</t>
        </is>
      </c>
      <c r="C63" s="9" t="n"/>
      <c r="D63" s="9" t="n"/>
      <c r="E63" s="9" t="n"/>
      <c r="F63" s="9" t="n"/>
      <c r="G63" s="9" t="n"/>
      <c r="H63" s="6" t="inlineStr">
        <is>
          <t>●</t>
        </is>
      </c>
      <c r="I63" s="7" t="inlineStr">
        <is>
          <t>●</t>
        </is>
      </c>
      <c r="J63" s="7" t="inlineStr">
        <is>
          <t>●</t>
        </is>
      </c>
      <c r="K63" s="6" t="inlineStr">
        <is>
          <t>●</t>
        </is>
      </c>
      <c r="L63" s="9" t="n"/>
      <c r="M63" s="9" t="n"/>
      <c r="N63" s="9" t="n"/>
      <c r="O63" s="8" t="inlineStr">
        <is>
          <t>FL « Tomate charnue » : juin-sept. (pleine juil.-août) · sept. seul : GF</t>
        </is>
      </c>
      <c r="P63" s="8" t="inlineStr"/>
    </row>
    <row r="64">
      <c r="A64" s="4" t="inlineStr">
        <is>
          <t>Légume · solanacées</t>
        </is>
      </c>
      <c r="B64" s="5" t="inlineStr">
        <is>
          <t>Tomates anciennes (noire de Crimée, ananas, green zebra…)</t>
        </is>
      </c>
      <c r="C64" s="9" t="n"/>
      <c r="D64" s="9" t="n"/>
      <c r="E64" s="9" t="n"/>
      <c r="F64" s="9" t="n"/>
      <c r="G64" s="9" t="n"/>
      <c r="H64" s="6" t="inlineStr">
        <is>
          <t>●</t>
        </is>
      </c>
      <c r="I64" s="6" t="inlineStr">
        <is>
          <t>●</t>
        </is>
      </c>
      <c r="J64" s="6" t="inlineStr">
        <is>
          <t>●</t>
        </is>
      </c>
      <c r="K64" s="6" t="inlineStr">
        <is>
          <t>●</t>
        </is>
      </c>
      <c r="L64" s="6" t="inlineStr">
        <is>
          <t>●</t>
        </is>
      </c>
      <c r="M64" s="9" t="n"/>
      <c r="N64" s="9" t="n"/>
      <c r="O64" s="8" t="inlineStr">
        <is>
          <t>ADP (Green Zebra juil.-oct., Noire de Crimée juin-sept. ; Ananas sans mois lu) : juin-oct. · GF : sept. (pleine )</t>
        </is>
      </c>
      <c r="P64" s="8" t="inlineStr"/>
    </row>
    <row r="65">
      <c r="A65" s="4" t="inlineStr">
        <is>
          <t>Légume · solanacées</t>
        </is>
      </c>
      <c r="B65" s="5" t="inlineStr">
        <is>
          <t>Tomate allongée (Roma, San Marzano, Peretti)</t>
        </is>
      </c>
      <c r="C65" s="9" t="n"/>
      <c r="D65" s="9" t="n"/>
      <c r="E65" s="9" t="n"/>
      <c r="F65" s="9" t="n"/>
      <c r="G65" s="9" t="n"/>
      <c r="H65" s="6" t="inlineStr">
        <is>
          <t>●</t>
        </is>
      </c>
      <c r="I65" s="7" t="inlineStr">
        <is>
          <t>●</t>
        </is>
      </c>
      <c r="J65" s="7" t="inlineStr">
        <is>
          <t>●</t>
        </is>
      </c>
      <c r="K65" s="6" t="inlineStr">
        <is>
          <t>●</t>
        </is>
      </c>
      <c r="L65" s="9" t="n"/>
      <c r="M65" s="9" t="n"/>
      <c r="N65" s="9" t="n"/>
      <c r="O65" s="8" t="inlineStr">
        <is>
          <t>FL « Tomate Peretti » : juin-sept. (pleine juil.-août)</t>
        </is>
      </c>
      <c r="P65" s="8" t="inlineStr"/>
    </row>
    <row r="66">
      <c r="A66" s="4" t="inlineStr">
        <is>
          <t>Légume · solanacées</t>
        </is>
      </c>
      <c r="B66" s="5" t="inlineStr">
        <is>
          <t>Tomate verte (à confire)</t>
        </is>
      </c>
      <c r="C66" s="9" t="n"/>
      <c r="D66" s="9" t="n"/>
      <c r="E66" s="9" t="n"/>
      <c r="F66" s="9" t="n"/>
      <c r="G66" s="9" t="n"/>
      <c r="H66" s="9" t="n"/>
      <c r="I66" s="9" t="n"/>
      <c r="J66" s="9" t="n"/>
      <c r="K66" s="6" t="inlineStr">
        <is>
          <t>●</t>
        </is>
      </c>
      <c r="L66" s="6" t="inlineStr">
        <is>
          <t>●</t>
        </is>
      </c>
      <c r="M66" s="9" t="n"/>
      <c r="N66" s="9" t="n"/>
      <c r="O66" s="8" t="inlineStr">
        <is>
          <t>IRI (fruits restés verts avant les gelées) : sept.-oct.</t>
        </is>
      </c>
      <c r="P66" s="8" t="inlineStr">
        <is>
          <t>Aucune source consultée</t>
        </is>
      </c>
    </row>
    <row r="67">
      <c r="A67" s="4" t="inlineStr">
        <is>
          <t>Légume · solanacées</t>
        </is>
      </c>
      <c r="B67" s="5" t="inlineStr">
        <is>
          <t>Aubergine</t>
        </is>
      </c>
      <c r="C67" s="9" t="n"/>
      <c r="D67" s="9" t="n"/>
      <c r="E67" s="9" t="n"/>
      <c r="F67" s="9" t="n"/>
      <c r="G67" s="7" t="inlineStr">
        <is>
          <t>●</t>
        </is>
      </c>
      <c r="H67" s="7" t="inlineStr">
        <is>
          <t>●</t>
        </is>
      </c>
      <c r="I67" s="7" t="inlineStr">
        <is>
          <t>●</t>
        </is>
      </c>
      <c r="J67" s="7" t="inlineStr">
        <is>
          <t>●</t>
        </is>
      </c>
      <c r="K67" s="7" t="inlineStr">
        <is>
          <t>●</t>
        </is>
      </c>
      <c r="L67" s="6" t="inlineStr">
        <is>
          <t>●</t>
        </is>
      </c>
      <c r="M67" s="9" t="n"/>
      <c r="N67" s="9" t="n"/>
      <c r="O67" s="8" t="inlineStr">
        <is>
          <t>FL « Aubergine » : mai-sept. (pleine juil.-août) · GP « Aubergine » : mai-oct. · IF « Aubergine » : mars-nov. (pleine mai-sept.) · BNA « aubergine » : mai-oct. · sept. seul : GF, DBB, CV</t>
        </is>
      </c>
      <c r="P67" s="8" t="inlineStr"/>
    </row>
    <row r="68">
      <c r="A68" s="4" t="inlineStr">
        <is>
          <t>Légume · solanacées</t>
        </is>
      </c>
      <c r="B68" s="5" t="inlineStr">
        <is>
          <t>Poivron</t>
        </is>
      </c>
      <c r="C68" s="9" t="n"/>
      <c r="D68" s="9" t="n"/>
      <c r="E68" s="9" t="n"/>
      <c r="F68" s="9" t="n"/>
      <c r="G68" s="9" t="n"/>
      <c r="H68" s="7" t="inlineStr">
        <is>
          <t>●</t>
        </is>
      </c>
      <c r="I68" s="7" t="inlineStr">
        <is>
          <t>●</t>
        </is>
      </c>
      <c r="J68" s="7" t="inlineStr">
        <is>
          <t>●</t>
        </is>
      </c>
      <c r="K68" s="7" t="inlineStr">
        <is>
          <t>●</t>
        </is>
      </c>
      <c r="L68" s="6" t="inlineStr">
        <is>
          <t>●</t>
        </is>
      </c>
      <c r="M68" s="9" t="n"/>
      <c r="N68" s="9" t="n"/>
      <c r="O68" s="8" t="inlineStr">
        <is>
          <t>FL « Poivron » : juin-oct. (pleine août-sept.) · GP « Poivron » : juin-sept. · IF « Poivron » : jan.-nov. (pleine avr.-août) · BNA « poivron » : juil.-oct. · sept. seul : GF, DBB, CV, BM</t>
        </is>
      </c>
      <c r="P68" s="8" t="inlineStr"/>
    </row>
    <row r="69">
      <c r="A69" s="4" t="inlineStr">
        <is>
          <t>Légume · solanacées</t>
        </is>
      </c>
      <c r="B69" s="5" t="inlineStr">
        <is>
          <t>Piment (doux des Landes, d'Espelette…)</t>
        </is>
      </c>
      <c r="C69" s="9" t="n"/>
      <c r="D69" s="9" t="n"/>
      <c r="E69" s="9" t="n"/>
      <c r="F69" s="9" t="n"/>
      <c r="G69" s="9" t="n"/>
      <c r="H69" s="9" t="n"/>
      <c r="I69" s="6" t="inlineStr">
        <is>
          <t>●</t>
        </is>
      </c>
      <c r="J69" s="7" t="inlineStr">
        <is>
          <t>●</t>
        </is>
      </c>
      <c r="K69" s="7" t="inlineStr">
        <is>
          <t>●</t>
        </is>
      </c>
      <c r="L69" s="6" t="inlineStr">
        <is>
          <t>●</t>
        </is>
      </c>
      <c r="M69" s="9" t="n"/>
      <c r="N69" s="9" t="n"/>
      <c r="O69" s="8" t="inlineStr">
        <is>
          <t>FL « Piment » : juil.-oct. (pleine août-sept.)</t>
        </is>
      </c>
      <c r="P69" s="8" t="inlineStr"/>
    </row>
    <row r="70">
      <c r="A70" s="4" t="inlineStr">
        <is>
          <t>Légume · solanacées</t>
        </is>
      </c>
      <c r="B70" s="5" t="inlineStr">
        <is>
          <t>Pomme de terre de conservation</t>
        </is>
      </c>
      <c r="C70" s="6" t="inlineStr">
        <is>
          <t>●</t>
        </is>
      </c>
      <c r="D70" s="6" t="inlineStr">
        <is>
          <t>●</t>
        </is>
      </c>
      <c r="E70" s="6" t="inlineStr">
        <is>
          <t>●</t>
        </is>
      </c>
      <c r="F70" s="9" t="n"/>
      <c r="G70" s="6" t="inlineStr">
        <is>
          <t>●</t>
        </is>
      </c>
      <c r="H70" s="6" t="inlineStr">
        <is>
          <t>●</t>
        </is>
      </c>
      <c r="I70" s="6" t="inlineStr">
        <is>
          <t>●</t>
        </is>
      </c>
      <c r="J70" s="6" t="inlineStr">
        <is>
          <t>●</t>
        </is>
      </c>
      <c r="K70" s="7" t="inlineStr">
        <is>
          <t>●</t>
        </is>
      </c>
      <c r="L70" s="7" t="inlineStr">
        <is>
          <t>●</t>
        </is>
      </c>
      <c r="M70" s="6" t="inlineStr">
        <is>
          <t>●</t>
        </is>
      </c>
      <c r="N70" s="6" t="inlineStr">
        <is>
          <t>●</t>
        </is>
      </c>
      <c r="O70" s="8" t="inlineStr">
        <is>
          <t>FL « Pomme de terre » : mai-fév. (pleine sept.-oct.) · BNA « pomme de terre » : mai-mars · PDT (conservation : de la récolte (15 août) au printemps) : août-avr. · sept. seul : GP, GF, CV, BM, PG</t>
        </is>
      </c>
      <c r="P70" s="8" t="inlineStr"/>
    </row>
    <row r="71">
      <c r="A71" s="4" t="inlineStr">
        <is>
          <t>Légume · solanacées</t>
        </is>
      </c>
      <c r="B71" s="5" t="inlineStr">
        <is>
          <t>Pomme de terre primeur / nouvelle</t>
        </is>
      </c>
      <c r="C71" s="9" t="n"/>
      <c r="D71" s="9" t="n"/>
      <c r="E71" s="9" t="n"/>
      <c r="F71" s="6" t="inlineStr">
        <is>
          <t>●</t>
        </is>
      </c>
      <c r="G71" s="6" t="inlineStr">
        <is>
          <t>●</t>
        </is>
      </c>
      <c r="H71" s="6" t="inlineStr">
        <is>
          <t>●</t>
        </is>
      </c>
      <c r="I71" s="6" t="inlineStr">
        <is>
          <t>●</t>
        </is>
      </c>
      <c r="J71" s="6" t="inlineStr">
        <is>
          <t>●</t>
        </is>
      </c>
      <c r="K71" s="9" t="n"/>
      <c r="L71" s="9" t="n"/>
      <c r="M71" s="9" t="n"/>
      <c r="N71" s="9" t="n"/>
      <c r="O71" s="8" t="inlineStr">
        <is>
          <t>PDT (avr. → 15 août) : avr.-août · BNA « pomme de terre primeur » : avr. · GP « site guetteur » : avr.-août</t>
        </is>
      </c>
      <c r="P71" s="8" t="inlineStr"/>
    </row>
    <row r="72">
      <c r="A72" s="4" t="inlineStr">
        <is>
          <t>Légume · solanacées</t>
        </is>
      </c>
      <c r="B72" s="5" t="inlineStr">
        <is>
          <t>Pomme de terre grenaille</t>
        </is>
      </c>
      <c r="C72" s="9" t="n"/>
      <c r="D72" s="9" t="n"/>
      <c r="E72" s="9" t="n"/>
      <c r="F72" s="6" t="inlineStr">
        <is>
          <t>●</t>
        </is>
      </c>
      <c r="G72" s="6" t="inlineStr">
        <is>
          <t>●</t>
        </is>
      </c>
      <c r="H72" s="6" t="inlineStr">
        <is>
          <t>●</t>
        </is>
      </c>
      <c r="I72" s="6" t="inlineStr">
        <is>
          <t>●</t>
        </is>
      </c>
      <c r="J72" s="9" t="n"/>
      <c r="K72" s="9" t="n"/>
      <c r="L72" s="9" t="n"/>
      <c r="M72" s="9" t="n"/>
      <c r="N72" s="9" t="n"/>
      <c r="O72" s="8" t="inlineStr">
        <is>
          <t>GB (jeune tubercule = primeur, mai-31 juil.) : mai-juil. · BMS : avr.-juil.</t>
        </is>
      </c>
      <c r="P72" s="8" t="inlineStr">
        <is>
          <t>Aucune source consultée</t>
        </is>
      </c>
    </row>
    <row r="73">
      <c r="A73" s="4" t="inlineStr">
        <is>
          <t>Légume · solanacées</t>
        </is>
      </c>
      <c r="B73" s="5" t="inlineStr">
        <is>
          <t>Vitelotte</t>
        </is>
      </c>
      <c r="C73" s="6" t="inlineStr">
        <is>
          <t>●</t>
        </is>
      </c>
      <c r="D73" s="6" t="inlineStr">
        <is>
          <t>●</t>
        </is>
      </c>
      <c r="E73" s="6" t="inlineStr">
        <is>
          <t>●</t>
        </is>
      </c>
      <c r="F73" s="9" t="n"/>
      <c r="G73" s="6" t="inlineStr">
        <is>
          <t>●</t>
        </is>
      </c>
      <c r="H73" s="6" t="inlineStr">
        <is>
          <t>●</t>
        </is>
      </c>
      <c r="I73" s="6" t="inlineStr">
        <is>
          <t>●</t>
        </is>
      </c>
      <c r="J73" s="6" t="inlineStr">
        <is>
          <t>●</t>
        </is>
      </c>
      <c r="K73" s="7" t="inlineStr">
        <is>
          <t>●</t>
        </is>
      </c>
      <c r="L73" s="7" t="inlineStr">
        <is>
          <t>●</t>
        </is>
      </c>
      <c r="M73" s="6" t="inlineStr">
        <is>
          <t>●</t>
        </is>
      </c>
      <c r="N73" s="6" t="inlineStr">
        <is>
          <t>●</t>
        </is>
      </c>
      <c r="O73" s="8">
        <f> Pomme de terre de conservation (assimilé)</f>
        <v/>
      </c>
      <c r="P73" s="8" t="inlineStr"/>
    </row>
    <row r="74">
      <c r="A74" s="4" t="inlineStr">
        <is>
          <t>Légume · solanacées</t>
        </is>
      </c>
      <c r="B74" s="5" t="inlineStr">
        <is>
          <t>Ratte (du Touquet)</t>
        </is>
      </c>
      <c r="C74" s="6" t="inlineStr">
        <is>
          <t>●</t>
        </is>
      </c>
      <c r="D74" s="6" t="inlineStr">
        <is>
          <t>●</t>
        </is>
      </c>
      <c r="E74" s="6" t="inlineStr">
        <is>
          <t>●</t>
        </is>
      </c>
      <c r="F74" s="6" t="inlineStr">
        <is>
          <t>●</t>
        </is>
      </c>
      <c r="G74" s="6" t="inlineStr">
        <is>
          <t>●</t>
        </is>
      </c>
      <c r="H74" s="6" t="inlineStr">
        <is>
          <t>●</t>
        </is>
      </c>
      <c r="I74" s="9" t="n"/>
      <c r="J74" s="9" t="n"/>
      <c r="K74" s="6" t="inlineStr">
        <is>
          <t>●</t>
        </is>
      </c>
      <c r="L74" s="6" t="inlineStr">
        <is>
          <t>●</t>
        </is>
      </c>
      <c r="M74" s="6" t="inlineStr">
        <is>
          <t>●</t>
        </is>
      </c>
      <c r="N74" s="6" t="inlineStr">
        <is>
          <t>●</t>
        </is>
      </c>
      <c r="O74" s="8" t="inlineStr">
        <is>
          <t>RDT (sur les étals de sept. à juin) : sept.-juin</t>
        </is>
      </c>
      <c r="P74" s="8" t="inlineStr"/>
    </row>
    <row r="75">
      <c r="A75" s="2" t="inlineStr">
        <is>
          <t>Légume · légumineuses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</row>
    <row r="76">
      <c r="A76" s="4" t="inlineStr">
        <is>
          <t>Légume · légumineuses</t>
        </is>
      </c>
      <c r="B76" s="5" t="inlineStr">
        <is>
          <t>Haricot vert</t>
        </is>
      </c>
      <c r="C76" s="9" t="n"/>
      <c r="D76" s="9" t="n"/>
      <c r="E76" s="9" t="n"/>
      <c r="F76" s="9" t="n"/>
      <c r="G76" s="9" t="n"/>
      <c r="H76" s="7" t="inlineStr">
        <is>
          <t>●</t>
        </is>
      </c>
      <c r="I76" s="7" t="inlineStr">
        <is>
          <t>●</t>
        </is>
      </c>
      <c r="J76" s="7" t="inlineStr">
        <is>
          <t>●</t>
        </is>
      </c>
      <c r="K76" s="7" t="inlineStr">
        <is>
          <t>●</t>
        </is>
      </c>
      <c r="L76" s="7" t="inlineStr">
        <is>
          <t>●</t>
        </is>
      </c>
      <c r="M76" s="9" t="n"/>
      <c r="N76" s="9" t="n"/>
      <c r="O76" s="8" t="inlineStr">
        <is>
          <t>IF « Haricot vert » : mars-oct. (pleine juin-oct.) · FL « Haricot » : juin-sept. (pleine juil.-août) · GP « Haricot vert » : juin-oct. · BNA « haricot vert » : juin-oct. · sept. seul : DBB, CV, BM</t>
        </is>
      </c>
      <c r="P76" s="8" t="inlineStr"/>
    </row>
    <row r="77">
      <c r="A77" s="4" t="inlineStr">
        <is>
          <t>Légume · légumineuses</t>
        </is>
      </c>
      <c r="B77" s="5" t="inlineStr">
        <is>
          <t>Haricot beurre</t>
        </is>
      </c>
      <c r="C77" s="9" t="n"/>
      <c r="D77" s="9" t="n"/>
      <c r="E77" s="9" t="n"/>
      <c r="F77" s="9" t="n"/>
      <c r="G77" s="9" t="n"/>
      <c r="H77" s="7" t="inlineStr">
        <is>
          <t>●</t>
        </is>
      </c>
      <c r="I77" s="7" t="inlineStr">
        <is>
          <t>●</t>
        </is>
      </c>
      <c r="J77" s="7" t="inlineStr">
        <is>
          <t>●</t>
        </is>
      </c>
      <c r="K77" s="7" t="inlineStr">
        <is>
          <t>●</t>
        </is>
      </c>
      <c r="L77" s="7" t="inlineStr">
        <is>
          <t>●</t>
        </is>
      </c>
      <c r="M77" s="9" t="n"/>
      <c r="N77" s="9" t="n"/>
      <c r="O77" s="8">
        <f> Haricot vert (assimilé)</f>
        <v/>
      </c>
      <c r="P77" s="8" t="inlineStr"/>
    </row>
    <row r="78">
      <c r="A78" s="4" t="inlineStr">
        <is>
          <t>Légume · légumineuses</t>
        </is>
      </c>
      <c r="B78" s="5" t="inlineStr">
        <is>
          <t>Haricot plat / mange-tout</t>
        </is>
      </c>
      <c r="C78" s="9" t="n"/>
      <c r="D78" s="9" t="n"/>
      <c r="E78" s="6" t="inlineStr">
        <is>
          <t>●</t>
        </is>
      </c>
      <c r="F78" s="6" t="inlineStr">
        <is>
          <t>●</t>
        </is>
      </c>
      <c r="G78" s="6" t="inlineStr">
        <is>
          <t>●</t>
        </is>
      </c>
      <c r="H78" s="7" t="inlineStr">
        <is>
          <t>●</t>
        </is>
      </c>
      <c r="I78" s="7" t="inlineStr">
        <is>
          <t>●</t>
        </is>
      </c>
      <c r="J78" s="7" t="inlineStr">
        <is>
          <t>●</t>
        </is>
      </c>
      <c r="K78" s="7" t="inlineStr">
        <is>
          <t>●</t>
        </is>
      </c>
      <c r="L78" s="7" t="inlineStr">
        <is>
          <t>●</t>
        </is>
      </c>
      <c r="M78" s="9" t="n"/>
      <c r="N78" s="9" t="n"/>
      <c r="O78" s="8" t="inlineStr">
        <is>
          <t>IF « Haricot vert » : mars-oct. (pleine juin-oct.) · BNA « haricots plats » : juil.-août</t>
        </is>
      </c>
      <c r="P78" s="8" t="inlineStr">
        <is>
          <t>BNA ne donne les haricots plats qu'en juil.-août</t>
        </is>
      </c>
    </row>
    <row r="79">
      <c r="A79" s="4" t="inlineStr">
        <is>
          <t>Légume · légumineuses</t>
        </is>
      </c>
      <c r="B79" s="5" t="inlineStr">
        <is>
          <t>Coco de Paimpol (AOP) / cocos frais</t>
        </is>
      </c>
      <c r="C79" s="9" t="n"/>
      <c r="D79" s="9" t="n"/>
      <c r="E79" s="9" t="n"/>
      <c r="F79" s="9" t="n"/>
      <c r="G79" s="9" t="n"/>
      <c r="H79" s="9" t="n"/>
      <c r="I79" s="6" t="inlineStr">
        <is>
          <t>●</t>
        </is>
      </c>
      <c r="J79" s="7" t="inlineStr">
        <is>
          <t>●</t>
        </is>
      </c>
      <c r="K79" s="7" t="inlineStr">
        <is>
          <t>●</t>
        </is>
      </c>
      <c r="L79" s="6" t="inlineStr">
        <is>
          <t>●</t>
        </is>
      </c>
      <c r="M79" s="9" t="n"/>
      <c r="N79" s="9" t="n"/>
      <c r="O79" s="8" t="inlineStr">
        <is>
          <t>FL « Haricot coco » : juil.-oct. (pleine août-sept.) · BNA « haricot à écosser » : août-oct.</t>
        </is>
      </c>
      <c r="P79" s="8" t="inlineStr"/>
    </row>
    <row r="80">
      <c r="A80" s="4" t="inlineStr">
        <is>
          <t>Légume · légumineuses</t>
        </is>
      </c>
      <c r="B80" s="5" t="inlineStr">
        <is>
          <t>Mogette de Vendée (fraîche / demi-sèche)</t>
        </is>
      </c>
      <c r="C80" s="9" t="n"/>
      <c r="D80" s="9" t="n"/>
      <c r="E80" s="9" t="n"/>
      <c r="F80" s="9" t="n"/>
      <c r="G80" s="9" t="n"/>
      <c r="H80" s="9" t="n"/>
      <c r="I80" s="9" t="n"/>
      <c r="J80" s="6" t="inlineStr">
        <is>
          <t>●</t>
        </is>
      </c>
      <c r="K80" s="6" t="inlineStr">
        <is>
          <t>●</t>
        </is>
      </c>
      <c r="L80" s="9" t="n"/>
      <c r="M80" s="9" t="n"/>
      <c r="N80" s="9" t="n"/>
      <c r="O80" s="8" t="inlineStr">
        <is>
          <t>MDV (fraîche dès août ; récolte août-sept. ; fin de saison fraîche non précisée) : août-sept. · sept. seul : PG</t>
        </is>
      </c>
      <c r="P80" s="8" t="inlineStr"/>
    </row>
    <row r="81">
      <c r="A81" s="4" t="inlineStr">
        <is>
          <t>Légume · légumineuses</t>
        </is>
      </c>
      <c r="B81" s="5" t="inlineStr">
        <is>
          <t>Haricot tarbais frais</t>
        </is>
      </c>
      <c r="C81" s="9" t="n"/>
      <c r="D81" s="9" t="n"/>
      <c r="E81" s="9" t="n"/>
      <c r="F81" s="9" t="n"/>
      <c r="G81" s="9" t="n"/>
      <c r="H81" s="9" t="n"/>
      <c r="I81" s="9" t="n"/>
      <c r="J81" s="6" t="inlineStr">
        <is>
          <t>●</t>
        </is>
      </c>
      <c r="K81" s="6" t="inlineStr">
        <is>
          <t>●</t>
        </is>
      </c>
      <c r="L81" s="9" t="n"/>
      <c r="M81" s="9" t="n"/>
      <c r="N81" s="9" t="n"/>
      <c r="O81" s="8" t="inlineStr">
        <is>
          <t>WK (grain frais en gousses fin août-début sept.) : août-sept.</t>
        </is>
      </c>
      <c r="P81" s="8" t="inlineStr"/>
    </row>
    <row r="82">
      <c r="A82" s="4" t="inlineStr">
        <is>
          <t>Légume · légumineuses</t>
        </is>
      </c>
      <c r="B82" s="5" t="inlineStr">
        <is>
          <t>Flageolet frais</t>
        </is>
      </c>
      <c r="C82" s="9" t="n"/>
      <c r="D82" s="9" t="n"/>
      <c r="E82" s="9" t="n"/>
      <c r="F82" s="9" t="n"/>
      <c r="G82" s="9" t="n"/>
      <c r="H82" s="9" t="n"/>
      <c r="I82" s="6" t="inlineStr">
        <is>
          <t>●</t>
        </is>
      </c>
      <c r="J82" s="6" t="inlineStr">
        <is>
          <t>●</t>
        </is>
      </c>
      <c r="K82" s="6" t="inlineStr">
        <is>
          <t>●</t>
        </is>
      </c>
      <c r="L82" s="9" t="n"/>
      <c r="M82" s="9" t="n"/>
      <c r="N82" s="9" t="n"/>
      <c r="O82" s="8" t="inlineStr">
        <is>
          <t>BAK (stade demi-sec) : juil.-sept. · PRO (campagne du flageolet en sept.) : sept.</t>
        </is>
      </c>
      <c r="P82" s="8" t="inlineStr"/>
    </row>
    <row r="83">
      <c r="A83" s="4" t="inlineStr">
        <is>
          <t>Légume · légumineuses</t>
        </is>
      </c>
      <c r="B83" s="5" t="inlineStr">
        <is>
          <t>Petit pois</t>
        </is>
      </c>
      <c r="C83" s="9" t="n"/>
      <c r="D83" s="9" t="n"/>
      <c r="E83" s="9" t="n"/>
      <c r="F83" s="7" t="inlineStr">
        <is>
          <t>●</t>
        </is>
      </c>
      <c r="G83" s="7" t="inlineStr">
        <is>
          <t>●</t>
        </is>
      </c>
      <c r="H83" s="7" t="inlineStr">
        <is>
          <t>●</t>
        </is>
      </c>
      <c r="I83" s="7" t="inlineStr">
        <is>
          <t>●</t>
        </is>
      </c>
      <c r="J83" s="6" t="inlineStr">
        <is>
          <t>●</t>
        </is>
      </c>
      <c r="K83" s="9" t="n"/>
      <c r="L83" s="9" t="n"/>
      <c r="M83" s="9" t="n"/>
      <c r="N83" s="9" t="n"/>
      <c r="O83" s="8" t="inlineStr">
        <is>
          <t>FL « Petit pois » : juin-juil. (pleine juin-juil.) · GP « Petit pois » : avr.-juil. · IF « Petit pois » : mars-août (pleine avr.-juil.) · BNA « petit pois » : avr.-oct.</t>
        </is>
      </c>
      <c r="P83" s="8" t="inlineStr">
        <is>
          <t>BNA seul le donne encore en sept.</t>
        </is>
      </c>
    </row>
    <row r="84">
      <c r="A84" s="4" t="inlineStr">
        <is>
          <t>Légume · légumineuses</t>
        </is>
      </c>
      <c r="B84" s="5" t="inlineStr">
        <is>
          <t>Pois gourmand / mange-tout</t>
        </is>
      </c>
      <c r="C84" s="9" t="n"/>
      <c r="D84" s="9" t="n"/>
      <c r="E84" s="9" t="n"/>
      <c r="F84" s="9" t="n"/>
      <c r="G84" s="9" t="n"/>
      <c r="H84" s="7" t="inlineStr">
        <is>
          <t>●</t>
        </is>
      </c>
      <c r="I84" s="7" t="inlineStr">
        <is>
          <t>●</t>
        </is>
      </c>
      <c r="J84" s="9" t="n"/>
      <c r="K84" s="9" t="n"/>
      <c r="L84" s="9" t="n"/>
      <c r="M84" s="9" t="n"/>
      <c r="N84" s="9" t="n"/>
      <c r="O84" s="8" t="inlineStr">
        <is>
          <t>FL « Pois mange-tout » : juin-juil. (pleine juin-juil.)</t>
        </is>
      </c>
      <c r="P84" s="8" t="inlineStr"/>
    </row>
    <row r="85">
      <c r="A85" s="4" t="inlineStr">
        <is>
          <t>Légume · légumineuses</t>
        </is>
      </c>
      <c r="B85" s="5" t="inlineStr">
        <is>
          <t>Fève</t>
        </is>
      </c>
      <c r="C85" s="9" t="n"/>
      <c r="D85" s="9" t="n"/>
      <c r="E85" s="9" t="n"/>
      <c r="F85" s="9" t="n"/>
      <c r="G85" s="6" t="inlineStr">
        <is>
          <t>●</t>
        </is>
      </c>
      <c r="H85" s="6" t="inlineStr">
        <is>
          <t>●</t>
        </is>
      </c>
      <c r="I85" s="6" t="inlineStr">
        <is>
          <t>●</t>
        </is>
      </c>
      <c r="J85" s="6" t="inlineStr">
        <is>
          <t>●</t>
        </is>
      </c>
      <c r="K85" s="9" t="n"/>
      <c r="L85" s="9" t="n"/>
      <c r="M85" s="9" t="n"/>
      <c r="N85" s="9" t="n"/>
      <c r="O85" s="8" t="inlineStr">
        <is>
          <t>BNA « fève » : mai-août · IF « Fève » : mai-juin</t>
        </is>
      </c>
      <c r="P85" s="8" t="inlineStr"/>
    </row>
    <row r="86">
      <c r="A86" s="4" t="inlineStr">
        <is>
          <t>Légume · légumineuses</t>
        </is>
      </c>
      <c r="B86" s="5" t="inlineStr">
        <is>
          <t>Maïs doux (épi)</t>
        </is>
      </c>
      <c r="C86" s="9" t="n"/>
      <c r="D86" s="9" t="n"/>
      <c r="E86" s="9" t="n"/>
      <c r="F86" s="9" t="n"/>
      <c r="G86" s="9" t="n"/>
      <c r="H86" s="9" t="n"/>
      <c r="I86" s="6" t="inlineStr">
        <is>
          <t>●</t>
        </is>
      </c>
      <c r="J86" s="7" t="inlineStr">
        <is>
          <t>●</t>
        </is>
      </c>
      <c r="K86" s="7" t="inlineStr">
        <is>
          <t>●</t>
        </is>
      </c>
      <c r="L86" s="6" t="inlineStr">
        <is>
          <t>●</t>
        </is>
      </c>
      <c r="M86" s="9" t="n"/>
      <c r="N86" s="9" t="n"/>
      <c r="O86" s="8" t="inlineStr">
        <is>
          <t>FL « Maïs » : juil.-oct. (pleine août-sept.) · BNA « maïs doux » : juil.-oct. · sept. seul : GP, CV</t>
        </is>
      </c>
      <c r="P86" s="8" t="inlineStr"/>
    </row>
    <row r="87">
      <c r="A87" s="4" t="inlineStr">
        <is>
          <t>Légume · légumineuses</t>
        </is>
      </c>
      <c r="B87" s="5" t="inlineStr">
        <is>
          <t>Germe de haricot mungo (soja vert)</t>
        </is>
      </c>
      <c r="C87" s="6" t="inlineStr">
        <is>
          <t>●</t>
        </is>
      </c>
      <c r="D87" s="6" t="inlineStr">
        <is>
          <t>●</t>
        </is>
      </c>
      <c r="E87" s="6" t="inlineStr">
        <is>
          <t>●</t>
        </is>
      </c>
      <c r="F87" s="6" t="inlineStr">
        <is>
          <t>●</t>
        </is>
      </c>
      <c r="G87" s="6" t="inlineStr">
        <is>
          <t>●</t>
        </is>
      </c>
      <c r="H87" s="6" t="inlineStr">
        <is>
          <t>●</t>
        </is>
      </c>
      <c r="I87" s="6" t="inlineStr">
        <is>
          <t>●</t>
        </is>
      </c>
      <c r="J87" s="6" t="inlineStr">
        <is>
          <t>●</t>
        </is>
      </c>
      <c r="K87" s="6" t="inlineStr">
        <is>
          <t>●</t>
        </is>
      </c>
      <c r="L87" s="6" t="inlineStr">
        <is>
          <t>●</t>
        </is>
      </c>
      <c r="M87" s="6" t="inlineStr">
        <is>
          <t>●</t>
        </is>
      </c>
      <c r="N87" s="6" t="inlineStr">
        <is>
          <t>●</t>
        </is>
      </c>
      <c r="O87" s="8" t="inlineStr">
        <is>
          <t>IF « Germe de haricot mungo Soja vert » : toute l'année</t>
        </is>
      </c>
      <c r="P87" s="8" t="inlineStr"/>
    </row>
    <row r="88">
      <c r="A88" s="2" t="inlineStr">
        <is>
          <t>Légume · racines</t>
        </is>
      </c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</row>
    <row r="89">
      <c r="A89" s="4" t="inlineStr">
        <is>
          <t>Légume · racines</t>
        </is>
      </c>
      <c r="B89" s="5" t="inlineStr">
        <is>
          <t>Carotte</t>
        </is>
      </c>
      <c r="C89" s="7" t="inlineStr">
        <is>
          <t>●</t>
        </is>
      </c>
      <c r="D89" s="7" t="inlineStr">
        <is>
          <t>●</t>
        </is>
      </c>
      <c r="E89" s="7" t="inlineStr">
        <is>
          <t>●</t>
        </is>
      </c>
      <c r="F89" s="7" t="inlineStr">
        <is>
          <t>●</t>
        </is>
      </c>
      <c r="G89" s="6" t="inlineStr">
        <is>
          <t>●</t>
        </is>
      </c>
      <c r="H89" s="6" t="inlineStr">
        <is>
          <t>●</t>
        </is>
      </c>
      <c r="I89" s="6" t="inlineStr">
        <is>
          <t>●</t>
        </is>
      </c>
      <c r="J89" s="6" t="inlineStr">
        <is>
          <t>●</t>
        </is>
      </c>
      <c r="K89" s="7" t="inlineStr">
        <is>
          <t>●</t>
        </is>
      </c>
      <c r="L89" s="7" t="inlineStr">
        <is>
          <t>●</t>
        </is>
      </c>
      <c r="M89" s="7" t="inlineStr">
        <is>
          <t>●</t>
        </is>
      </c>
      <c r="N89" s="7" t="inlineStr">
        <is>
          <t>●</t>
        </is>
      </c>
      <c r="O89" s="8" t="inlineStr">
        <is>
          <t>FL « Carotte » : août-avr. (pleine sept.-oct.) · GP « Carotte » : toute l'année · IF « Carotte » : toute l'année (pleine oct.-avr.) · BNA « carotte » : toute l'année · sept. seul : GF, CV, BM, PG</t>
        </is>
      </c>
      <c r="P89" s="8" t="inlineStr"/>
    </row>
    <row r="90">
      <c r="A90" s="4" t="inlineStr">
        <is>
          <t>Légume · racines</t>
        </is>
      </c>
      <c r="B90" s="5" t="inlineStr">
        <is>
          <t>Carotte nouvelle (botte)</t>
        </is>
      </c>
      <c r="C90" s="9" t="n"/>
      <c r="D90" s="9" t="n"/>
      <c r="E90" s="9" t="n"/>
      <c r="F90" s="9" t="n"/>
      <c r="G90" s="6" t="inlineStr">
        <is>
          <t>●</t>
        </is>
      </c>
      <c r="H90" s="6" t="inlineStr">
        <is>
          <t>●</t>
        </is>
      </c>
      <c r="I90" s="9" t="n"/>
      <c r="J90" s="9" t="n"/>
      <c r="K90" s="9" t="n"/>
      <c r="L90" s="9" t="n"/>
      <c r="M90" s="9" t="n"/>
      <c r="N90" s="9" t="n"/>
      <c r="O90" s="8" t="inlineStr">
        <is>
          <t>IF « Carotte primeur » : mai-juin</t>
        </is>
      </c>
      <c r="P90" s="8" t="inlineStr">
        <is>
          <t>Primeur de printemps-été, non distinguée par les sources</t>
        </is>
      </c>
    </row>
    <row r="91">
      <c r="A91" s="4" t="inlineStr">
        <is>
          <t>Légume · racines</t>
        </is>
      </c>
      <c r="B91" s="5" t="inlineStr">
        <is>
          <t>Betterave rouge</t>
        </is>
      </c>
      <c r="C91" s="6" t="inlineStr">
        <is>
          <t>●</t>
        </is>
      </c>
      <c r="D91" s="6" t="inlineStr">
        <is>
          <t>●</t>
        </is>
      </c>
      <c r="E91" s="6" t="inlineStr">
        <is>
          <t>●</t>
        </is>
      </c>
      <c r="F91" s="6" t="inlineStr">
        <is>
          <t>●</t>
        </is>
      </c>
      <c r="G91" s="6" t="inlineStr">
        <is>
          <t>●</t>
        </is>
      </c>
      <c r="H91" s="6" t="inlineStr">
        <is>
          <t>●</t>
        </is>
      </c>
      <c r="I91" s="6" t="inlineStr">
        <is>
          <t>●</t>
        </is>
      </c>
      <c r="J91" s="6" t="inlineStr">
        <is>
          <t>●</t>
        </is>
      </c>
      <c r="K91" s="7" t="inlineStr">
        <is>
          <t>●</t>
        </is>
      </c>
      <c r="L91" s="7" t="inlineStr">
        <is>
          <t>●</t>
        </is>
      </c>
      <c r="M91" s="6" t="inlineStr">
        <is>
          <t>●</t>
        </is>
      </c>
      <c r="N91" s="6" t="inlineStr">
        <is>
          <t>●</t>
        </is>
      </c>
      <c r="O91" s="8" t="inlineStr">
        <is>
          <t>FL « Betterave rouge » : mai-oct. (pleine sept.-oct.) · GP « Betterave » : juil.-mai · IF « Betterave » : toute l'année · BNA « betterave » : toute l'année · sept. seul : GF, CV</t>
        </is>
      </c>
      <c r="P91" s="8" t="inlineStr"/>
    </row>
    <row r="92">
      <c r="A92" s="4" t="inlineStr">
        <is>
          <t>Légume · racines</t>
        </is>
      </c>
      <c r="B92" s="5" t="inlineStr">
        <is>
          <t>Betterave Chioggia / jaune</t>
        </is>
      </c>
      <c r="C92" s="6" t="inlineStr">
        <is>
          <t>●</t>
        </is>
      </c>
      <c r="D92" s="6" t="inlineStr">
        <is>
          <t>●</t>
        </is>
      </c>
      <c r="E92" s="6" t="inlineStr">
        <is>
          <t>●</t>
        </is>
      </c>
      <c r="F92" s="6" t="inlineStr">
        <is>
          <t>●</t>
        </is>
      </c>
      <c r="G92" s="6" t="inlineStr">
        <is>
          <t>●</t>
        </is>
      </c>
      <c r="H92" s="6" t="inlineStr">
        <is>
          <t>●</t>
        </is>
      </c>
      <c r="I92" s="6" t="inlineStr">
        <is>
          <t>●</t>
        </is>
      </c>
      <c r="J92" s="6" t="inlineStr">
        <is>
          <t>●</t>
        </is>
      </c>
      <c r="K92" s="7" t="inlineStr">
        <is>
          <t>●</t>
        </is>
      </c>
      <c r="L92" s="7" t="inlineStr">
        <is>
          <t>●</t>
        </is>
      </c>
      <c r="M92" s="6" t="inlineStr">
        <is>
          <t>●</t>
        </is>
      </c>
      <c r="N92" s="6" t="inlineStr">
        <is>
          <t>●</t>
        </is>
      </c>
      <c r="O92" s="8">
        <f> Betterave rouge (assimilé)</f>
        <v/>
      </c>
      <c r="P92" s="8" t="inlineStr"/>
    </row>
    <row r="93">
      <c r="A93" s="4" t="inlineStr">
        <is>
          <t>Légume · racines</t>
        </is>
      </c>
      <c r="B93" s="5" t="inlineStr">
        <is>
          <t>Navet</t>
        </is>
      </c>
      <c r="C93" s="7" t="inlineStr">
        <is>
          <t>●</t>
        </is>
      </c>
      <c r="D93" s="7" t="inlineStr">
        <is>
          <t>●</t>
        </is>
      </c>
      <c r="E93" s="7" t="inlineStr">
        <is>
          <t>●</t>
        </is>
      </c>
      <c r="F93" s="6" t="inlineStr">
        <is>
          <t>●</t>
        </is>
      </c>
      <c r="G93" s="6" t="inlineStr">
        <is>
          <t>●</t>
        </is>
      </c>
      <c r="H93" s="7" t="inlineStr">
        <is>
          <t>●</t>
        </is>
      </c>
      <c r="I93" s="6" t="inlineStr">
        <is>
          <t>●</t>
        </is>
      </c>
      <c r="J93" s="6" t="inlineStr">
        <is>
          <t>●</t>
        </is>
      </c>
      <c r="K93" s="7" t="inlineStr">
        <is>
          <t>●</t>
        </is>
      </c>
      <c r="L93" s="7" t="inlineStr">
        <is>
          <t>●</t>
        </is>
      </c>
      <c r="M93" s="7" t="inlineStr">
        <is>
          <t>●</t>
        </is>
      </c>
      <c r="N93" s="7" t="inlineStr">
        <is>
          <t>●</t>
        </is>
      </c>
      <c r="O93" s="8" t="inlineStr">
        <is>
          <t>FL « Navet » : juin-sept. (pleine juin, sept.) · GP « Navet » : oct.-juin · IF « Navet » : oct.-avr. (pleine oct.-mars) · BNA « navet » : toute l'année · sept. seul : GF, PG</t>
        </is>
      </c>
      <c r="P93" s="8" t="inlineStr">
        <is>
          <t>GP le donne oct.-mai</t>
        </is>
      </c>
    </row>
    <row r="94">
      <c r="A94" s="4" t="inlineStr">
        <is>
          <t>Légume · racines</t>
        </is>
      </c>
      <c r="B94" s="5" t="inlineStr">
        <is>
          <t>Navet boule d'or</t>
        </is>
      </c>
      <c r="C94" s="7" t="inlineStr">
        <is>
          <t>●</t>
        </is>
      </c>
      <c r="D94" s="7" t="inlineStr">
        <is>
          <t>●</t>
        </is>
      </c>
      <c r="E94" s="7" t="inlineStr">
        <is>
          <t>●</t>
        </is>
      </c>
      <c r="F94" s="6" t="inlineStr">
        <is>
          <t>●</t>
        </is>
      </c>
      <c r="G94" s="6" t="inlineStr">
        <is>
          <t>●</t>
        </is>
      </c>
      <c r="H94" s="7" t="inlineStr">
        <is>
          <t>●</t>
        </is>
      </c>
      <c r="I94" s="6" t="inlineStr">
        <is>
          <t>●</t>
        </is>
      </c>
      <c r="J94" s="6" t="inlineStr">
        <is>
          <t>●</t>
        </is>
      </c>
      <c r="K94" s="7" t="inlineStr">
        <is>
          <t>●</t>
        </is>
      </c>
      <c r="L94" s="7" t="inlineStr">
        <is>
          <t>●</t>
        </is>
      </c>
      <c r="M94" s="7" t="inlineStr">
        <is>
          <t>●</t>
        </is>
      </c>
      <c r="N94" s="7" t="inlineStr">
        <is>
          <t>●</t>
        </is>
      </c>
      <c r="O94" s="8">
        <f> Navet (assimilé)</f>
        <v/>
      </c>
      <c r="P94" s="8" t="inlineStr"/>
    </row>
    <row r="95">
      <c r="A95" s="4" t="inlineStr">
        <is>
          <t>Légume · racines</t>
        </is>
      </c>
      <c r="B95" s="5" t="inlineStr">
        <is>
          <t>Radis rose (botte)</t>
        </is>
      </c>
      <c r="C95" s="9" t="n"/>
      <c r="D95" s="9" t="n"/>
      <c r="E95" s="7" t="inlineStr">
        <is>
          <t>●</t>
        </is>
      </c>
      <c r="F95" s="7" t="inlineStr">
        <is>
          <t>●</t>
        </is>
      </c>
      <c r="G95" s="7" t="inlineStr">
        <is>
          <t>●</t>
        </is>
      </c>
      <c r="H95" s="7" t="inlineStr">
        <is>
          <t>●</t>
        </is>
      </c>
      <c r="I95" s="7" t="inlineStr">
        <is>
          <t>●</t>
        </is>
      </c>
      <c r="J95" s="6" t="inlineStr">
        <is>
          <t>●</t>
        </is>
      </c>
      <c r="K95" s="6" t="inlineStr">
        <is>
          <t>●</t>
        </is>
      </c>
      <c r="L95" s="6" t="inlineStr">
        <is>
          <t>●</t>
        </is>
      </c>
      <c r="M95" s="9" t="n"/>
      <c r="N95" s="9" t="n"/>
      <c r="O95" s="8" t="inlineStr">
        <is>
          <t>FL « Radis » : avr.-juil. (pleine mai-juin) · GP « Radis » : fév.-déc. · IF « Radis » : mars-oct. (pleine mars-juil.) · BNA « radis rose » : mars-août · BNA « radis » : sept.-nov. · sept. seul : CV, BM</t>
        </is>
      </c>
      <c r="P95" s="8" t="inlineStr">
        <is>
          <t>FL ne le donne qu'avr.-juil.</t>
        </is>
      </c>
    </row>
    <row r="96">
      <c r="A96" s="4" t="inlineStr">
        <is>
          <t>Légume · racines</t>
        </is>
      </c>
      <c r="B96" s="5" t="inlineStr">
        <is>
          <t>Radis noir</t>
        </is>
      </c>
      <c r="C96" s="6" t="inlineStr">
        <is>
          <t>●</t>
        </is>
      </c>
      <c r="D96" s="6" t="inlineStr">
        <is>
          <t>●</t>
        </is>
      </c>
      <c r="E96" s="6" t="inlineStr">
        <is>
          <t>●</t>
        </is>
      </c>
      <c r="F96" s="6" t="inlineStr">
        <is>
          <t>●</t>
        </is>
      </c>
      <c r="G96" s="9" t="n"/>
      <c r="H96" s="9" t="n"/>
      <c r="I96" s="9" t="n"/>
      <c r="J96" s="9" t="n"/>
      <c r="K96" s="6" t="inlineStr">
        <is>
          <t>●</t>
        </is>
      </c>
      <c r="L96" s="7" t="inlineStr">
        <is>
          <t>●</t>
        </is>
      </c>
      <c r="M96" s="7" t="inlineStr">
        <is>
          <t>●</t>
        </is>
      </c>
      <c r="N96" s="6" t="inlineStr">
        <is>
          <t>●</t>
        </is>
      </c>
      <c r="O96" s="8" t="inlineStr">
        <is>
          <t>FL « Radis noir » : sept.-fév. (pleine oct.-nov.) · BNA « radis noir » : déc.-avr.</t>
        </is>
      </c>
      <c r="P96" s="8" t="inlineStr"/>
    </row>
    <row r="97">
      <c r="A97" s="4" t="inlineStr">
        <is>
          <t>Légume · racines</t>
        </is>
      </c>
      <c r="B97" s="5" t="inlineStr">
        <is>
          <t>Radis long / demi-long</t>
        </is>
      </c>
      <c r="C97" s="9" t="n"/>
      <c r="D97" s="9" t="n"/>
      <c r="E97" s="9" t="n"/>
      <c r="F97" s="9" t="n"/>
      <c r="G97" s="6" t="inlineStr">
        <is>
          <t>●</t>
        </is>
      </c>
      <c r="H97" s="7" t="inlineStr">
        <is>
          <t>●</t>
        </is>
      </c>
      <c r="I97" s="7" t="inlineStr">
        <is>
          <t>●</t>
        </is>
      </c>
      <c r="J97" s="6" t="inlineStr">
        <is>
          <t>●</t>
        </is>
      </c>
      <c r="K97" s="9" t="n"/>
      <c r="L97" s="9" t="n"/>
      <c r="M97" s="9" t="n"/>
      <c r="N97" s="9" t="n"/>
      <c r="O97" s="8" t="inlineStr">
        <is>
          <t>FL « Radis long » : mai-août (pleine juin-juil.)</t>
        </is>
      </c>
      <c r="P97" s="8" t="inlineStr"/>
    </row>
    <row r="98">
      <c r="A98" s="4" t="inlineStr">
        <is>
          <t>Légume · racines</t>
        </is>
      </c>
      <c r="B98" s="5" t="inlineStr">
        <is>
          <t>Radis daikon (blanc japonais)</t>
        </is>
      </c>
      <c r="C98" s="9" t="n"/>
      <c r="D98" s="9" t="n"/>
      <c r="E98" s="9" t="n"/>
      <c r="F98" s="9" t="n"/>
      <c r="G98" s="9" t="n"/>
      <c r="H98" s="9" t="n"/>
      <c r="I98" s="9" t="n"/>
      <c r="J98" s="9" t="n"/>
      <c r="K98" s="6" t="inlineStr">
        <is>
          <t>●</t>
        </is>
      </c>
      <c r="L98" s="6" t="inlineStr">
        <is>
          <t>●</t>
        </is>
      </c>
      <c r="M98" s="6" t="inlineStr">
        <is>
          <t>●</t>
        </is>
      </c>
      <c r="N98" s="9" t="n"/>
      <c r="O98" s="8" t="inlineStr">
        <is>
          <t>GB (semis juil.-sept., récolte 7-8 semaines après) : sept.-nov.</t>
        </is>
      </c>
      <c r="P98" s="8" t="inlineStr">
        <is>
          <t>Aucune source consultée</t>
        </is>
      </c>
    </row>
    <row r="99">
      <c r="A99" s="4" t="inlineStr">
        <is>
          <t>Légume · racines</t>
        </is>
      </c>
      <c r="B99" s="5" t="inlineStr">
        <is>
          <t>Panais</t>
        </is>
      </c>
      <c r="C99" s="7" t="inlineStr">
        <is>
          <t>●</t>
        </is>
      </c>
      <c r="D99" s="7" t="inlineStr">
        <is>
          <t>●</t>
        </is>
      </c>
      <c r="E99" s="7" t="inlineStr">
        <is>
          <t>●</t>
        </is>
      </c>
      <c r="F99" s="9" t="n"/>
      <c r="G99" s="9" t="n"/>
      <c r="H99" s="9" t="n"/>
      <c r="I99" s="9" t="n"/>
      <c r="J99" s="9" t="n"/>
      <c r="K99" s="6" t="inlineStr">
        <is>
          <t>●</t>
        </is>
      </c>
      <c r="L99" s="6" t="inlineStr">
        <is>
          <t>●</t>
        </is>
      </c>
      <c r="M99" s="7" t="inlineStr">
        <is>
          <t>●</t>
        </is>
      </c>
      <c r="N99" s="7" t="inlineStr">
        <is>
          <t>●</t>
        </is>
      </c>
      <c r="O99" s="8" t="inlineStr">
        <is>
          <t>FL « Panais » : sept.-déc. (pleine nov.-déc.) · GP « Panais » : sept.-mars · IF « Panais » : nov.-mai (pleine nov.-avr.) · BNA « panais » : oct.-mars · sept. seul : GF, PG</t>
        </is>
      </c>
      <c r="P99" s="8" t="inlineStr">
        <is>
          <t>BNA ne le donne qu'à partir d'oct.</t>
        </is>
      </c>
    </row>
    <row r="100">
      <c r="A100" s="4" t="inlineStr">
        <is>
          <t>Légume · racines</t>
        </is>
      </c>
      <c r="B100" s="5" t="inlineStr">
        <is>
          <t>Céleri-rave</t>
        </is>
      </c>
      <c r="C100" s="7" t="inlineStr">
        <is>
          <t>●</t>
        </is>
      </c>
      <c r="D100" s="7" t="inlineStr">
        <is>
          <t>●</t>
        </is>
      </c>
      <c r="E100" s="7" t="inlineStr">
        <is>
          <t>●</t>
        </is>
      </c>
      <c r="F100" s="9" t="n"/>
      <c r="G100" s="9" t="n"/>
      <c r="H100" s="9" t="n"/>
      <c r="I100" s="9" t="n"/>
      <c r="J100" s="9" t="n"/>
      <c r="K100" s="6" t="inlineStr">
        <is>
          <t>●</t>
        </is>
      </c>
      <c r="L100" s="7" t="inlineStr">
        <is>
          <t>●</t>
        </is>
      </c>
      <c r="M100" s="7" t="inlineStr">
        <is>
          <t>●</t>
        </is>
      </c>
      <c r="N100" s="7" t="inlineStr">
        <is>
          <t>●</t>
        </is>
      </c>
      <c r="O100" s="8" t="inlineStr">
        <is>
          <t>FL « Céleri rave » : sept.-fév. (pleine oct.-nov.) · IF « Céleri-rave » : sept.-mai (pleine oct.-mars) · GP « Céleri-rave » : fév.-mars · GP « Céleri » : oct.-jan. · BNA « céleri » : juil.-avr. · sept. seul : PG, CV</t>
        </is>
      </c>
      <c r="P100" s="8" t="inlineStr"/>
    </row>
    <row r="101">
      <c r="A101" s="4" t="inlineStr">
        <is>
          <t>Légume · racines</t>
        </is>
      </c>
      <c r="B101" s="5" t="inlineStr">
        <is>
          <t>Céleri-branche</t>
        </is>
      </c>
      <c r="C101" s="7" t="inlineStr">
        <is>
          <t>●</t>
        </is>
      </c>
      <c r="D101" s="7" t="inlineStr">
        <is>
          <t>●</t>
        </is>
      </c>
      <c r="E101" s="9" t="n"/>
      <c r="F101" s="9" t="n"/>
      <c r="G101" s="6" t="inlineStr">
        <is>
          <t>●</t>
        </is>
      </c>
      <c r="H101" s="9" t="n"/>
      <c r="I101" s="9" t="n"/>
      <c r="J101" s="9" t="n"/>
      <c r="K101" s="6" t="inlineStr">
        <is>
          <t>●</t>
        </is>
      </c>
      <c r="L101" s="7" t="inlineStr">
        <is>
          <t>●</t>
        </is>
      </c>
      <c r="M101" s="7" t="inlineStr">
        <is>
          <t>●</t>
        </is>
      </c>
      <c r="N101" s="7" t="inlineStr">
        <is>
          <t>●</t>
        </is>
      </c>
      <c r="O101" s="8" t="inlineStr">
        <is>
          <t>FL « Céleri branche » : sept.-fév. (pleine oct.-nov.) · IF « Céleri-branche » : oct.-mai (pleine oct.-avr.) · GP « Céleri-branche » : juil.-sept. · BNA « céleri branche » : mai-juin · sept. seul : GF, DBB, PG</t>
        </is>
      </c>
      <c r="P101" s="8" t="inlineStr"/>
    </row>
    <row r="102">
      <c r="A102" s="4" t="inlineStr">
        <is>
          <t>Légume · racines</t>
        </is>
      </c>
      <c r="B102" s="5" t="inlineStr">
        <is>
          <t>Rutabaga</t>
        </is>
      </c>
      <c r="C102" s="7" t="inlineStr">
        <is>
          <t>●</t>
        </is>
      </c>
      <c r="D102" s="7" t="inlineStr">
        <is>
          <t>●</t>
        </is>
      </c>
      <c r="E102" s="7" t="inlineStr">
        <is>
          <t>●</t>
        </is>
      </c>
      <c r="F102" s="7" t="inlineStr">
        <is>
          <t>●</t>
        </is>
      </c>
      <c r="G102" s="9" t="n"/>
      <c r="H102" s="9" t="n"/>
      <c r="I102" s="9" t="n"/>
      <c r="J102" s="9" t="n"/>
      <c r="K102" s="9" t="n"/>
      <c r="L102" s="6" t="inlineStr">
        <is>
          <t>●</t>
        </is>
      </c>
      <c r="M102" s="7" t="inlineStr">
        <is>
          <t>●</t>
        </is>
      </c>
      <c r="N102" s="7" t="inlineStr">
        <is>
          <t>●</t>
        </is>
      </c>
      <c r="O102" s="8" t="inlineStr">
        <is>
          <t>SM (Rutabaga) : juil.-avr. · GP « Rutabaga » : oct.-déc. · IF « Rutabaga » : oct.-avr. (pleine nov.-avr.) · BNA « rutabaga » : fév.</t>
        </is>
      </c>
      <c r="P102" s="8" t="inlineStr">
        <is>
          <t>GP le donne oct.-déc.</t>
        </is>
      </c>
    </row>
    <row r="103">
      <c r="A103" s="4" t="inlineStr">
        <is>
          <t>Légume · racines</t>
        </is>
      </c>
      <c r="B103" s="5" t="inlineStr">
        <is>
          <t>Topinambour</t>
        </is>
      </c>
      <c r="C103" s="7" t="inlineStr">
        <is>
          <t>●</t>
        </is>
      </c>
      <c r="D103" s="7" t="inlineStr">
        <is>
          <t>●</t>
        </is>
      </c>
      <c r="E103" s="7" t="inlineStr">
        <is>
          <t>●</t>
        </is>
      </c>
      <c r="F103" s="9" t="n"/>
      <c r="G103" s="9" t="n"/>
      <c r="H103" s="9" t="n"/>
      <c r="I103" s="9" t="n"/>
      <c r="J103" s="9" t="n"/>
      <c r="K103" s="9" t="n"/>
      <c r="L103" s="6" t="inlineStr">
        <is>
          <t>●</t>
        </is>
      </c>
      <c r="M103" s="7" t="inlineStr">
        <is>
          <t>●</t>
        </is>
      </c>
      <c r="N103" s="7" t="inlineStr">
        <is>
          <t>●</t>
        </is>
      </c>
      <c r="O103" s="8" t="inlineStr">
        <is>
          <t>FL « Topinambour » : oct.-fév. (pleine nov.-déc.) · GP « Topinambour » : oct.-mars · IF « Topinambour » : nov.-mai (pleine nov.-avr.) · BNA « topinambour » : déc.-fév.</t>
        </is>
      </c>
      <c r="P103" s="8" t="inlineStr">
        <is>
          <t>PG l'inscrit à l'automne dès sept.</t>
        </is>
      </c>
    </row>
    <row r="104">
      <c r="A104" s="4" t="inlineStr">
        <is>
          <t>Légume · racines</t>
        </is>
      </c>
      <c r="B104" s="5" t="inlineStr">
        <is>
          <t>Crosne</t>
        </is>
      </c>
      <c r="C104" s="6" t="inlineStr">
        <is>
          <t>●</t>
        </is>
      </c>
      <c r="D104" s="6" t="inlineStr">
        <is>
          <t>●</t>
        </is>
      </c>
      <c r="E104" s="6" t="inlineStr">
        <is>
          <t>●</t>
        </is>
      </c>
      <c r="F104" s="9" t="n"/>
      <c r="G104" s="9" t="n"/>
      <c r="H104" s="9" t="n"/>
      <c r="I104" s="9" t="n"/>
      <c r="J104" s="9" t="n"/>
      <c r="K104" s="6" t="inlineStr">
        <is>
          <t>●</t>
        </is>
      </c>
      <c r="L104" s="9" t="n"/>
      <c r="M104" s="6" t="inlineStr">
        <is>
          <t>●</t>
        </is>
      </c>
      <c r="N104" s="6" t="inlineStr">
        <is>
          <t>●</t>
        </is>
      </c>
      <c r="O104" s="8" t="inlineStr">
        <is>
          <t>GP « Crosne » : mars, nov.-déc. · BNA « crosne » : jan.-fév. · VD (via résumé) : sept.-mars · sept. seul : PG</t>
        </is>
      </c>
      <c r="P104" s="8" t="inlineStr">
        <is>
          <t>Fin septembre au plus tôt</t>
        </is>
      </c>
    </row>
    <row r="105">
      <c r="A105" s="4" t="inlineStr">
        <is>
          <t>Légume · racines</t>
        </is>
      </c>
      <c r="B105" s="5" t="inlineStr">
        <is>
          <t>Salsifis / scorsonère</t>
        </is>
      </c>
      <c r="C105" s="6" t="inlineStr">
        <is>
          <t>●</t>
        </is>
      </c>
      <c r="D105" s="6" t="inlineStr">
        <is>
          <t>●</t>
        </is>
      </c>
      <c r="E105" s="6" t="inlineStr">
        <is>
          <t>●</t>
        </is>
      </c>
      <c r="F105" s="9" t="n"/>
      <c r="G105" s="9" t="n"/>
      <c r="H105" s="9" t="n"/>
      <c r="I105" s="9" t="n"/>
      <c r="J105" s="9" t="n"/>
      <c r="K105" s="9" t="n"/>
      <c r="L105" s="6" t="inlineStr">
        <is>
          <t>●</t>
        </is>
      </c>
      <c r="M105" s="7" t="inlineStr">
        <is>
          <t>●</t>
        </is>
      </c>
      <c r="N105" s="7" t="inlineStr">
        <is>
          <t>●</t>
        </is>
      </c>
      <c r="O105" s="8" t="inlineStr">
        <is>
          <t>FL « Salsifis » : oct.-mars (pleine nov.-déc.) · GP « Salsifi » : fév.-mars, oct.-déc. · BNA « salsifis » : déc.-fév.</t>
        </is>
      </c>
      <c r="P105" s="8" t="inlineStr">
        <is>
          <t>PG l'inscrit à l'automne dès sept.</t>
        </is>
      </c>
    </row>
    <row r="106">
      <c r="A106" s="4" t="inlineStr">
        <is>
          <t>Légume · racines</t>
        </is>
      </c>
      <c r="B106" s="5" t="inlineStr">
        <is>
          <t>Patate douce</t>
        </is>
      </c>
      <c r="C106" s="7" t="inlineStr">
        <is>
          <t>●</t>
        </is>
      </c>
      <c r="D106" s="7" t="inlineStr">
        <is>
          <t>●</t>
        </is>
      </c>
      <c r="E106" s="7" t="inlineStr">
        <is>
          <t>●</t>
        </is>
      </c>
      <c r="F106" s="7" t="inlineStr">
        <is>
          <t>●</t>
        </is>
      </c>
      <c r="G106" s="7" t="inlineStr">
        <is>
          <t>●</t>
        </is>
      </c>
      <c r="H106" s="6" t="inlineStr">
        <is>
          <t>●</t>
        </is>
      </c>
      <c r="I106" s="6" t="inlineStr">
        <is>
          <t>●</t>
        </is>
      </c>
      <c r="J106" s="6" t="inlineStr">
        <is>
          <t>●</t>
        </is>
      </c>
      <c r="K106" s="7" t="inlineStr">
        <is>
          <t>●</t>
        </is>
      </c>
      <c r="L106" s="7" t="inlineStr">
        <is>
          <t>●</t>
        </is>
      </c>
      <c r="M106" s="7" t="inlineStr">
        <is>
          <t>●</t>
        </is>
      </c>
      <c r="N106" s="7" t="inlineStr">
        <is>
          <t>●</t>
        </is>
      </c>
      <c r="O106" s="8" t="inlineStr">
        <is>
          <t>FL « Patate douce » : toute l'année (pleine oct.-nov.) · GP « Patate douce » : sept.-oct. · IF « Patate douce » : toute l'année (pleine sept.-mai) · sept. seul : BM</t>
        </is>
      </c>
      <c r="P106" s="8" t="inlineStr"/>
    </row>
    <row r="107">
      <c r="A107" s="4" t="inlineStr">
        <is>
          <t>Légume · racines</t>
        </is>
      </c>
      <c r="B107" s="5" t="inlineStr">
        <is>
          <t>Cerfeuil tubéreux</t>
        </is>
      </c>
      <c r="C107" s="9" t="n"/>
      <c r="D107" s="9" t="n"/>
      <c r="E107" s="9" t="n"/>
      <c r="F107" s="9" t="n"/>
      <c r="G107" s="9" t="n"/>
      <c r="H107" s="9" t="n"/>
      <c r="I107" s="6" t="inlineStr">
        <is>
          <t>●</t>
        </is>
      </c>
      <c r="J107" s="6" t="inlineStr">
        <is>
          <t>●</t>
        </is>
      </c>
      <c r="K107" s="6" t="inlineStr">
        <is>
          <t>●</t>
        </is>
      </c>
      <c r="L107" s="6" t="inlineStr">
        <is>
          <t>●</t>
        </is>
      </c>
      <c r="M107" s="9" t="n"/>
      <c r="N107" s="9" t="n"/>
      <c r="O107" s="8" t="inlineStr">
        <is>
          <t>GB (arrachage juil.-oct. ; consommation après 1-2 mois de maturation (via résumé)) : juil.-oct.</t>
        </is>
      </c>
      <c r="P107" s="8" t="inlineStr">
        <is>
          <t>Aucune source consultée</t>
        </is>
      </c>
    </row>
    <row r="108">
      <c r="A108" s="4" t="inlineStr">
        <is>
          <t>Légume · racines</t>
        </is>
      </c>
      <c r="B108" s="5" t="inlineStr">
        <is>
          <t>Persil tubéreux (racine)</t>
        </is>
      </c>
      <c r="C108" s="9" t="n"/>
      <c r="D108" s="9" t="n"/>
      <c r="E108" s="9" t="n"/>
      <c r="F108" s="9" t="n"/>
      <c r="G108" s="9" t="n"/>
      <c r="H108" s="9" t="n"/>
      <c r="I108" s="9" t="n"/>
      <c r="J108" s="9" t="n"/>
      <c r="K108" s="6" t="inlineStr">
        <is>
          <t>●</t>
        </is>
      </c>
      <c r="L108" s="6" t="inlineStr">
        <is>
          <t>●</t>
        </is>
      </c>
      <c r="M108" s="6" t="inlineStr">
        <is>
          <t>●</t>
        </is>
      </c>
      <c r="N108" s="9" t="n"/>
      <c r="O108" s="8" t="inlineStr">
        <is>
          <t>GB (dès sept. jusqu'aux premières gelées) : sept.-nov.</t>
        </is>
      </c>
      <c r="P108" s="8" t="inlineStr">
        <is>
          <t>Aucune source consultée</t>
        </is>
      </c>
    </row>
    <row r="109">
      <c r="A109" s="4" t="inlineStr">
        <is>
          <t>Légume · racines</t>
        </is>
      </c>
      <c r="B109" s="5" t="inlineStr">
        <is>
          <t>Raifort</t>
        </is>
      </c>
      <c r="C109" s="7" t="inlineStr">
        <is>
          <t>●</t>
        </is>
      </c>
      <c r="D109" s="6" t="inlineStr">
        <is>
          <t>●</t>
        </is>
      </c>
      <c r="E109" s="6" t="inlineStr">
        <is>
          <t>●</t>
        </is>
      </c>
      <c r="F109" s="9" t="n"/>
      <c r="G109" s="9" t="n"/>
      <c r="H109" s="9" t="n"/>
      <c r="I109" s="9" t="n"/>
      <c r="J109" s="9" t="n"/>
      <c r="K109" s="9" t="n"/>
      <c r="L109" s="6" t="inlineStr">
        <is>
          <t>●</t>
        </is>
      </c>
      <c r="M109" s="7" t="inlineStr">
        <is>
          <t>●</t>
        </is>
      </c>
      <c r="N109" s="7" t="inlineStr">
        <is>
          <t>●</t>
        </is>
      </c>
      <c r="O109" s="8" t="inlineStr">
        <is>
          <t>ALE (fin automne-début printemps ; ICI Alsace : récolte nov.-janv.) : oct.-mars (pleine nov.-jan.)</t>
        </is>
      </c>
      <c r="P109" s="8" t="inlineStr">
        <is>
          <t>Aucune source consultée</t>
        </is>
      </c>
    </row>
    <row r="110">
      <c r="A110" s="2" t="inlineStr">
        <is>
          <t>Légume · feuilles &amp; salades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</row>
    <row r="111">
      <c r="A111" s="4" t="inlineStr">
        <is>
          <t>Légume · feuilles &amp; salades</t>
        </is>
      </c>
      <c r="B111" s="5" t="inlineStr">
        <is>
          <t>Laitue pommée (beurre)</t>
        </is>
      </c>
      <c r="C111" s="7" t="inlineStr">
        <is>
          <t>●</t>
        </is>
      </c>
      <c r="D111" s="7" t="inlineStr">
        <is>
          <t>●</t>
        </is>
      </c>
      <c r="E111" s="7" t="inlineStr">
        <is>
          <t>●</t>
        </is>
      </c>
      <c r="F111" s="7" t="inlineStr">
        <is>
          <t>●</t>
        </is>
      </c>
      <c r="G111" s="6" t="inlineStr">
        <is>
          <t>●</t>
        </is>
      </c>
      <c r="H111" s="6" t="inlineStr">
        <is>
          <t>●</t>
        </is>
      </c>
      <c r="I111" s="6" t="inlineStr">
        <is>
          <t>●</t>
        </is>
      </c>
      <c r="J111" s="6" t="inlineStr">
        <is>
          <t>●</t>
        </is>
      </c>
      <c r="K111" s="6" t="inlineStr">
        <is>
          <t>●</t>
        </is>
      </c>
      <c r="L111" s="7" t="inlineStr">
        <is>
          <t>●</t>
        </is>
      </c>
      <c r="M111" s="7" t="inlineStr">
        <is>
          <t>●</t>
        </is>
      </c>
      <c r="N111" s="7" t="inlineStr">
        <is>
          <t>●</t>
        </is>
      </c>
      <c r="O111" s="8" t="inlineStr">
        <is>
          <t>IF « Laitue » : toute l'année (pleine oct.-avr.) · GP « Laitue » : avr.-oct. · BNA « salade » : avr.-nov. · sept. seul : CV, BM</t>
        </is>
      </c>
      <c r="P111" s="8" t="inlineStr"/>
    </row>
    <row r="112">
      <c r="A112" s="4" t="inlineStr">
        <is>
          <t>Légume · feuilles &amp; salades</t>
        </is>
      </c>
      <c r="B112" s="5" t="inlineStr">
        <is>
          <t>Batavia</t>
        </is>
      </c>
      <c r="C112" s="7" t="inlineStr">
        <is>
          <t>●</t>
        </is>
      </c>
      <c r="D112" s="7" t="inlineStr">
        <is>
          <t>●</t>
        </is>
      </c>
      <c r="E112" s="7" t="inlineStr">
        <is>
          <t>●</t>
        </is>
      </c>
      <c r="F112" s="7" t="inlineStr">
        <is>
          <t>●</t>
        </is>
      </c>
      <c r="G112" s="6" t="inlineStr">
        <is>
          <t>●</t>
        </is>
      </c>
      <c r="H112" s="6" t="inlineStr">
        <is>
          <t>●</t>
        </is>
      </c>
      <c r="I112" s="6" t="inlineStr">
        <is>
          <t>●</t>
        </is>
      </c>
      <c r="J112" s="6" t="inlineStr">
        <is>
          <t>●</t>
        </is>
      </c>
      <c r="K112" s="6" t="inlineStr">
        <is>
          <t>●</t>
        </is>
      </c>
      <c r="L112" s="7" t="inlineStr">
        <is>
          <t>●</t>
        </is>
      </c>
      <c r="M112" s="7" t="inlineStr">
        <is>
          <t>●</t>
        </is>
      </c>
      <c r="N112" s="7" t="inlineStr">
        <is>
          <t>●</t>
        </is>
      </c>
      <c r="O112" s="8">
        <f> Laitue pommée (beurre) (assimilé)</f>
        <v/>
      </c>
      <c r="P112" s="8" t="inlineStr"/>
    </row>
    <row r="113">
      <c r="A113" s="4" t="inlineStr">
        <is>
          <t>Légume · feuilles &amp; salades</t>
        </is>
      </c>
      <c r="B113" s="5" t="inlineStr">
        <is>
          <t>Feuille de chêne</t>
        </is>
      </c>
      <c r="C113" s="6" t="inlineStr">
        <is>
          <t>●</t>
        </is>
      </c>
      <c r="D113" s="6" t="inlineStr">
        <is>
          <t>●</t>
        </is>
      </c>
      <c r="E113" s="6" t="inlineStr">
        <is>
          <t>●</t>
        </is>
      </c>
      <c r="F113" s="6" t="inlineStr">
        <is>
          <t>●</t>
        </is>
      </c>
      <c r="G113" s="6" t="inlineStr">
        <is>
          <t>●</t>
        </is>
      </c>
      <c r="H113" s="7" t="inlineStr">
        <is>
          <t>●</t>
        </is>
      </c>
      <c r="I113" s="6" t="inlineStr">
        <is>
          <t>●</t>
        </is>
      </c>
      <c r="J113" s="6" t="inlineStr">
        <is>
          <t>●</t>
        </is>
      </c>
      <c r="K113" s="7" t="inlineStr">
        <is>
          <t>●</t>
        </is>
      </c>
      <c r="L113" s="6" t="inlineStr">
        <is>
          <t>●</t>
        </is>
      </c>
      <c r="M113" s="6" t="inlineStr">
        <is>
          <t>●</t>
        </is>
      </c>
      <c r="N113" s="6" t="inlineStr">
        <is>
          <t>●</t>
        </is>
      </c>
      <c r="O113" s="8" t="inlineStr">
        <is>
          <t>FL « Feuille de chêne » : mai-oct. (pleine juin, sept.) · IF « Salade » : toute l'année</t>
        </is>
      </c>
      <c r="P113" s="8" t="inlineStr"/>
    </row>
    <row r="114">
      <c r="A114" s="4" t="inlineStr">
        <is>
          <t>Légume · feuilles &amp; salades</t>
        </is>
      </c>
      <c r="B114" s="5" t="inlineStr">
        <is>
          <t>Romaine</t>
        </is>
      </c>
      <c r="C114" s="9" t="n"/>
      <c r="D114" s="9" t="n"/>
      <c r="E114" s="9" t="n"/>
      <c r="F114" s="6" t="inlineStr">
        <is>
          <t>●</t>
        </is>
      </c>
      <c r="G114" s="7" t="inlineStr">
        <is>
          <t>●</t>
        </is>
      </c>
      <c r="H114" s="7" t="inlineStr">
        <is>
          <t>●</t>
        </is>
      </c>
      <c r="I114" s="6" t="inlineStr">
        <is>
          <t>●</t>
        </is>
      </c>
      <c r="J114" s="6" t="inlineStr">
        <is>
          <t>●</t>
        </is>
      </c>
      <c r="K114" s="6" t="inlineStr">
        <is>
          <t>●</t>
        </is>
      </c>
      <c r="L114" s="6" t="inlineStr">
        <is>
          <t>●</t>
        </is>
      </c>
      <c r="M114" s="9" t="n"/>
      <c r="N114" s="9" t="n"/>
      <c r="O114" s="8" t="inlineStr">
        <is>
          <t>FL « Laitue romaine » : avr.-oct. (pleine mai-juin)</t>
        </is>
      </c>
      <c r="P114" s="8" t="inlineStr"/>
    </row>
    <row r="115">
      <c r="A115" s="4" t="inlineStr">
        <is>
          <t>Légume · feuilles &amp; salades</t>
        </is>
      </c>
      <c r="B115" s="5" t="inlineStr">
        <is>
          <t>Sucrine</t>
        </is>
      </c>
      <c r="C115" s="7" t="inlineStr">
        <is>
          <t>●</t>
        </is>
      </c>
      <c r="D115" s="7" t="inlineStr">
        <is>
          <t>●</t>
        </is>
      </c>
      <c r="E115" s="7" t="inlineStr">
        <is>
          <t>●</t>
        </is>
      </c>
      <c r="F115" s="7" t="inlineStr">
        <is>
          <t>●</t>
        </is>
      </c>
      <c r="G115" s="6" t="inlineStr">
        <is>
          <t>●</t>
        </is>
      </c>
      <c r="H115" s="6" t="inlineStr">
        <is>
          <t>●</t>
        </is>
      </c>
      <c r="I115" s="6" t="inlineStr">
        <is>
          <t>●</t>
        </is>
      </c>
      <c r="J115" s="6" t="inlineStr">
        <is>
          <t>●</t>
        </is>
      </c>
      <c r="K115" s="6" t="inlineStr">
        <is>
          <t>●</t>
        </is>
      </c>
      <c r="L115" s="7" t="inlineStr">
        <is>
          <t>●</t>
        </is>
      </c>
      <c r="M115" s="7" t="inlineStr">
        <is>
          <t>●</t>
        </is>
      </c>
      <c r="N115" s="7" t="inlineStr">
        <is>
          <t>●</t>
        </is>
      </c>
      <c r="O115" s="8">
        <f> Laitue pommée (beurre) (assimilé)</f>
        <v/>
      </c>
      <c r="P115" s="8" t="inlineStr"/>
    </row>
    <row r="116">
      <c r="A116" s="4" t="inlineStr">
        <is>
          <t>Légume · feuilles &amp; salades</t>
        </is>
      </c>
      <c r="B116" s="5" t="inlineStr">
        <is>
          <t>Iceberg</t>
        </is>
      </c>
      <c r="C116" s="7" t="inlineStr">
        <is>
          <t>●</t>
        </is>
      </c>
      <c r="D116" s="7" t="inlineStr">
        <is>
          <t>●</t>
        </is>
      </c>
      <c r="E116" s="7" t="inlineStr">
        <is>
          <t>●</t>
        </is>
      </c>
      <c r="F116" s="7" t="inlineStr">
        <is>
          <t>●</t>
        </is>
      </c>
      <c r="G116" s="6" t="inlineStr">
        <is>
          <t>●</t>
        </is>
      </c>
      <c r="H116" s="6" t="inlineStr">
        <is>
          <t>●</t>
        </is>
      </c>
      <c r="I116" s="6" t="inlineStr">
        <is>
          <t>●</t>
        </is>
      </c>
      <c r="J116" s="6" t="inlineStr">
        <is>
          <t>●</t>
        </is>
      </c>
      <c r="K116" s="6" t="inlineStr">
        <is>
          <t>●</t>
        </is>
      </c>
      <c r="L116" s="7" t="inlineStr">
        <is>
          <t>●</t>
        </is>
      </c>
      <c r="M116" s="7" t="inlineStr">
        <is>
          <t>●</t>
        </is>
      </c>
      <c r="N116" s="7" t="inlineStr">
        <is>
          <t>●</t>
        </is>
      </c>
      <c r="O116" s="8">
        <f> Laitue pommée (beurre) (assimilé)</f>
        <v/>
      </c>
      <c r="P116" s="8" t="inlineStr"/>
    </row>
    <row r="117">
      <c r="A117" s="4" t="inlineStr">
        <is>
          <t>Légume · feuilles &amp; salades</t>
        </is>
      </c>
      <c r="B117" s="5" t="inlineStr">
        <is>
          <t>Rougette</t>
        </is>
      </c>
      <c r="C117" s="7" t="inlineStr">
        <is>
          <t>●</t>
        </is>
      </c>
      <c r="D117" s="7" t="inlineStr">
        <is>
          <t>●</t>
        </is>
      </c>
      <c r="E117" s="7" t="inlineStr">
        <is>
          <t>●</t>
        </is>
      </c>
      <c r="F117" s="7" t="inlineStr">
        <is>
          <t>●</t>
        </is>
      </c>
      <c r="G117" s="6" t="inlineStr">
        <is>
          <t>●</t>
        </is>
      </c>
      <c r="H117" s="6" t="inlineStr">
        <is>
          <t>●</t>
        </is>
      </c>
      <c r="I117" s="6" t="inlineStr">
        <is>
          <t>●</t>
        </is>
      </c>
      <c r="J117" s="6" t="inlineStr">
        <is>
          <t>●</t>
        </is>
      </c>
      <c r="K117" s="6" t="inlineStr">
        <is>
          <t>●</t>
        </is>
      </c>
      <c r="L117" s="7" t="inlineStr">
        <is>
          <t>●</t>
        </is>
      </c>
      <c r="M117" s="7" t="inlineStr">
        <is>
          <t>●</t>
        </is>
      </c>
      <c r="N117" s="7" t="inlineStr">
        <is>
          <t>●</t>
        </is>
      </c>
      <c r="O117" s="8">
        <f> Laitue pommée (beurre) (assimilé)</f>
        <v/>
      </c>
      <c r="P117" s="8" t="inlineStr"/>
    </row>
    <row r="118">
      <c r="A118" s="4" t="inlineStr">
        <is>
          <t>Légume · feuilles &amp; salades</t>
        </is>
      </c>
      <c r="B118" s="5" t="inlineStr">
        <is>
          <t>Frisée</t>
        </is>
      </c>
      <c r="C118" s="7" t="inlineStr">
        <is>
          <t>●</t>
        </is>
      </c>
      <c r="D118" s="7" t="inlineStr">
        <is>
          <t>●</t>
        </is>
      </c>
      <c r="E118" s="7" t="inlineStr">
        <is>
          <t>●</t>
        </is>
      </c>
      <c r="F118" s="7" t="inlineStr">
        <is>
          <t>●</t>
        </is>
      </c>
      <c r="G118" s="9" t="n"/>
      <c r="H118" s="9" t="n"/>
      <c r="I118" s="9" t="n"/>
      <c r="J118" s="6" t="inlineStr">
        <is>
          <t>●</t>
        </is>
      </c>
      <c r="K118" s="6" t="inlineStr">
        <is>
          <t>●</t>
        </is>
      </c>
      <c r="L118" s="7" t="inlineStr">
        <is>
          <t>●</t>
        </is>
      </c>
      <c r="M118" s="7" t="inlineStr">
        <is>
          <t>●</t>
        </is>
      </c>
      <c r="N118" s="7" t="inlineStr">
        <is>
          <t>●</t>
        </is>
      </c>
      <c r="O118" s="8" t="inlineStr">
        <is>
          <t>FL « Frisée » : sept.-fév. (pleine oct.-nov.) · GP « Frisée » : août-avr. · IF « Chicorée » : toute l'année (pleine nov.-avr.) · BNA « frisée » : fév.</t>
        </is>
      </c>
      <c r="P118" s="8" t="inlineStr">
        <is>
          <t>BNA la donne à partir d'oct.</t>
        </is>
      </c>
    </row>
    <row r="119">
      <c r="A119" s="4" t="inlineStr">
        <is>
          <t>Légume · feuilles &amp; salades</t>
        </is>
      </c>
      <c r="B119" s="5" t="inlineStr">
        <is>
          <t>Scarole</t>
        </is>
      </c>
      <c r="C119" s="7" t="inlineStr">
        <is>
          <t>●</t>
        </is>
      </c>
      <c r="D119" s="7" t="inlineStr">
        <is>
          <t>●</t>
        </is>
      </c>
      <c r="E119" s="7" t="inlineStr">
        <is>
          <t>●</t>
        </is>
      </c>
      <c r="F119" s="7" t="inlineStr">
        <is>
          <t>●</t>
        </is>
      </c>
      <c r="G119" s="6" t="inlineStr">
        <is>
          <t>●</t>
        </is>
      </c>
      <c r="H119" s="6" t="inlineStr">
        <is>
          <t>●</t>
        </is>
      </c>
      <c r="I119" s="6" t="inlineStr">
        <is>
          <t>●</t>
        </is>
      </c>
      <c r="J119" s="6" t="inlineStr">
        <is>
          <t>●</t>
        </is>
      </c>
      <c r="K119" s="6" t="inlineStr">
        <is>
          <t>●</t>
        </is>
      </c>
      <c r="L119" s="6" t="inlineStr">
        <is>
          <t>●</t>
        </is>
      </c>
      <c r="M119" s="7" t="inlineStr">
        <is>
          <t>●</t>
        </is>
      </c>
      <c r="N119" s="7" t="inlineStr">
        <is>
          <t>●</t>
        </is>
      </c>
      <c r="O119" s="8" t="inlineStr">
        <is>
          <t>IF « Chicorée » : toute l'année (pleine nov.-avr.)</t>
        </is>
      </c>
      <c r="P119" s="8" t="inlineStr"/>
    </row>
    <row r="120">
      <c r="A120" s="4" t="inlineStr">
        <is>
          <t>Légume · feuilles &amp; salades</t>
        </is>
      </c>
      <c r="B120" s="5" t="inlineStr">
        <is>
          <t>Trévise / radicchio</t>
        </is>
      </c>
      <c r="C120" s="7" t="inlineStr">
        <is>
          <t>●</t>
        </is>
      </c>
      <c r="D120" s="7" t="inlineStr">
        <is>
          <t>●</t>
        </is>
      </c>
      <c r="E120" s="7" t="inlineStr">
        <is>
          <t>●</t>
        </is>
      </c>
      <c r="F120" s="7" t="inlineStr">
        <is>
          <t>●</t>
        </is>
      </c>
      <c r="G120" s="6" t="inlineStr">
        <is>
          <t>●</t>
        </is>
      </c>
      <c r="H120" s="6" t="inlineStr">
        <is>
          <t>●</t>
        </is>
      </c>
      <c r="I120" s="6" t="inlineStr">
        <is>
          <t>●</t>
        </is>
      </c>
      <c r="J120" s="6" t="inlineStr">
        <is>
          <t>●</t>
        </is>
      </c>
      <c r="K120" s="6" t="inlineStr">
        <is>
          <t>●</t>
        </is>
      </c>
      <c r="L120" s="6" t="inlineStr">
        <is>
          <t>●</t>
        </is>
      </c>
      <c r="M120" s="7" t="inlineStr">
        <is>
          <t>●</t>
        </is>
      </c>
      <c r="N120" s="7" t="inlineStr">
        <is>
          <t>●</t>
        </is>
      </c>
      <c r="O120" s="8" t="inlineStr">
        <is>
          <t>IF « Chicorée » : toute l'année (pleine nov.-avr.)</t>
        </is>
      </c>
      <c r="P120" s="8" t="inlineStr"/>
    </row>
    <row r="121">
      <c r="A121" s="4" t="inlineStr">
        <is>
          <t>Légume · feuilles &amp; salades</t>
        </is>
      </c>
      <c r="B121" s="5" t="inlineStr">
        <is>
          <t>Chicorée pain de sucre</t>
        </is>
      </c>
      <c r="C121" s="7" t="inlineStr">
        <is>
          <t>●</t>
        </is>
      </c>
      <c r="D121" s="7" t="inlineStr">
        <is>
          <t>●</t>
        </is>
      </c>
      <c r="E121" s="7" t="inlineStr">
        <is>
          <t>●</t>
        </is>
      </c>
      <c r="F121" s="7" t="inlineStr">
        <is>
          <t>●</t>
        </is>
      </c>
      <c r="G121" s="6" t="inlineStr">
        <is>
          <t>●</t>
        </is>
      </c>
      <c r="H121" s="6" t="inlineStr">
        <is>
          <t>●</t>
        </is>
      </c>
      <c r="I121" s="6" t="inlineStr">
        <is>
          <t>●</t>
        </is>
      </c>
      <c r="J121" s="6" t="inlineStr">
        <is>
          <t>●</t>
        </is>
      </c>
      <c r="K121" s="6" t="inlineStr">
        <is>
          <t>●</t>
        </is>
      </c>
      <c r="L121" s="6" t="inlineStr">
        <is>
          <t>●</t>
        </is>
      </c>
      <c r="M121" s="7" t="inlineStr">
        <is>
          <t>●</t>
        </is>
      </c>
      <c r="N121" s="7" t="inlineStr">
        <is>
          <t>●</t>
        </is>
      </c>
      <c r="O121" s="8" t="inlineStr">
        <is>
          <t>IF « Chicorée » : toute l'année (pleine nov.-avr.) · GBQ (mi-sept.-gelées ; sous abri tout l'hiver) : sept.-déc.</t>
        </is>
      </c>
      <c r="P121" s="8" t="inlineStr">
        <is>
          <t>Aucune source consultée</t>
        </is>
      </c>
    </row>
    <row r="122">
      <c r="A122" s="4" t="inlineStr">
        <is>
          <t>Légume · feuilles &amp; salades</t>
        </is>
      </c>
      <c r="B122" s="5" t="inlineStr">
        <is>
          <t>Catalogne / puntarelle</t>
        </is>
      </c>
      <c r="C122" s="9" t="n"/>
      <c r="D122" s="9" t="n"/>
      <c r="E122" s="9" t="n"/>
      <c r="F122" s="9" t="n"/>
      <c r="G122" s="9" t="n"/>
      <c r="H122" s="9" t="n"/>
      <c r="I122" s="9" t="n"/>
      <c r="J122" s="6" t="inlineStr">
        <is>
          <t>●</t>
        </is>
      </c>
      <c r="K122" s="7" t="inlineStr">
        <is>
          <t>●</t>
        </is>
      </c>
      <c r="L122" s="7" t="inlineStr">
        <is>
          <t>●</t>
        </is>
      </c>
      <c r="M122" s="6" t="inlineStr">
        <is>
          <t>●</t>
        </is>
      </c>
      <c r="N122" s="6" t="inlineStr">
        <is>
          <t>●</t>
        </is>
      </c>
      <c r="O122" s="8" t="inlineStr">
        <is>
          <t>FL « Catalonia » : août-déc. (pleine sept.-oct.)</t>
        </is>
      </c>
      <c r="P122" s="8" t="inlineStr"/>
    </row>
    <row r="123">
      <c r="A123" s="4" t="inlineStr">
        <is>
          <t>Légume · feuilles &amp; salades</t>
        </is>
      </c>
      <c r="B123" s="5" t="inlineStr">
        <is>
          <t>Endive</t>
        </is>
      </c>
      <c r="C123" s="7" t="inlineStr">
        <is>
          <t>●</t>
        </is>
      </c>
      <c r="D123" s="7" t="inlineStr">
        <is>
          <t>●</t>
        </is>
      </c>
      <c r="E123" s="7" t="inlineStr">
        <is>
          <t>●</t>
        </is>
      </c>
      <c r="F123" s="7" t="inlineStr">
        <is>
          <t>●</t>
        </is>
      </c>
      <c r="G123" s="9" t="n"/>
      <c r="H123" s="9" t="n"/>
      <c r="I123" s="9" t="n"/>
      <c r="J123" s="9" t="n"/>
      <c r="K123" s="9" t="n"/>
      <c r="L123" s="7" t="inlineStr">
        <is>
          <t>●</t>
        </is>
      </c>
      <c r="M123" s="7" t="inlineStr">
        <is>
          <t>●</t>
        </is>
      </c>
      <c r="N123" s="7" t="inlineStr">
        <is>
          <t>●</t>
        </is>
      </c>
      <c r="O123" s="8" t="inlineStr">
        <is>
          <t>FL « Endive » : nov.-mars (pleine jan.-fév.) · GP « Endive » : oct.-avr. · IF « Endive » : oct.-mai (pleine oct.-avr.) · BNA « endive » : nov.-avr.</t>
        </is>
      </c>
      <c r="P123" s="8" t="inlineStr"/>
    </row>
    <row r="124">
      <c r="A124" s="4" t="inlineStr">
        <is>
          <t>Légume · feuilles &amp; salades</t>
        </is>
      </c>
      <c r="B124" s="5" t="inlineStr">
        <is>
          <t>Mâche</t>
        </is>
      </c>
      <c r="C124" s="7" t="inlineStr">
        <is>
          <t>●</t>
        </is>
      </c>
      <c r="D124" s="7" t="inlineStr">
        <is>
          <t>●</t>
        </is>
      </c>
      <c r="E124" s="9" t="n"/>
      <c r="F124" s="9" t="n"/>
      <c r="G124" s="9" t="n"/>
      <c r="H124" s="9" t="n"/>
      <c r="I124" s="9" t="n"/>
      <c r="J124" s="9" t="n"/>
      <c r="K124" s="9" t="n"/>
      <c r="L124" s="9" t="n"/>
      <c r="M124" s="7" t="inlineStr">
        <is>
          <t>●</t>
        </is>
      </c>
      <c r="N124" s="7" t="inlineStr">
        <is>
          <t>●</t>
        </is>
      </c>
      <c r="O124" s="8" t="inlineStr">
        <is>
          <t>FL « Mâche » : nov.-fév. (pleine jan.-fév.) · GP « Mâche » : nov.-fév. · IF « Mâche » : oct.-mai (pleine nov.-avr.) · BNA « mâche » : déc.-fév.</t>
        </is>
      </c>
      <c r="P124" s="8" t="inlineStr">
        <is>
          <t>IF la dit disponible toute l'année</t>
        </is>
      </c>
    </row>
    <row r="125">
      <c r="A125" s="4" t="inlineStr">
        <is>
          <t>Légume · feuilles &amp; salades</t>
        </is>
      </c>
      <c r="B125" s="5" t="inlineStr">
        <is>
          <t>Roquette</t>
        </is>
      </c>
      <c r="C125" s="9" t="n"/>
      <c r="D125" s="9" t="n"/>
      <c r="E125" s="9" t="n"/>
      <c r="F125" s="6" t="inlineStr">
        <is>
          <t>●</t>
        </is>
      </c>
      <c r="G125" s="7" t="inlineStr">
        <is>
          <t>●</t>
        </is>
      </c>
      <c r="H125" s="6" t="inlineStr">
        <is>
          <t>●</t>
        </is>
      </c>
      <c r="I125" s="6" t="inlineStr">
        <is>
          <t>●</t>
        </is>
      </c>
      <c r="J125" s="6" t="inlineStr">
        <is>
          <t>●</t>
        </is>
      </c>
      <c r="K125" s="7" t="inlineStr">
        <is>
          <t>●</t>
        </is>
      </c>
      <c r="L125" s="6" t="inlineStr">
        <is>
          <t>●</t>
        </is>
      </c>
      <c r="M125" s="6" t="inlineStr">
        <is>
          <t>●</t>
        </is>
      </c>
      <c r="N125" s="9" t="n"/>
      <c r="O125" s="8" t="inlineStr">
        <is>
          <t>FL « Roquette » : avr.-nov. (pleine mai, sept.) · sept. seul : DBB, GP</t>
        </is>
      </c>
      <c r="P125" s="8" t="inlineStr"/>
    </row>
    <row r="126">
      <c r="A126" s="4" t="inlineStr">
        <is>
          <t>Légume · feuilles &amp; salades</t>
        </is>
      </c>
      <c r="B126" s="5" t="inlineStr">
        <is>
          <t>Cresson</t>
        </is>
      </c>
      <c r="C126" s="6" t="inlineStr">
        <is>
          <t>●</t>
        </is>
      </c>
      <c r="D126" s="6" t="inlineStr">
        <is>
          <t>●</t>
        </is>
      </c>
      <c r="E126" s="6" t="inlineStr">
        <is>
          <t>●</t>
        </is>
      </c>
      <c r="F126" s="6" t="inlineStr">
        <is>
          <t>●</t>
        </is>
      </c>
      <c r="G126" s="6" t="inlineStr">
        <is>
          <t>●</t>
        </is>
      </c>
      <c r="H126" s="9" t="n"/>
      <c r="I126" s="6" t="inlineStr">
        <is>
          <t>●</t>
        </is>
      </c>
      <c r="J126" s="6" t="inlineStr">
        <is>
          <t>●</t>
        </is>
      </c>
      <c r="K126" s="6" t="inlineStr">
        <is>
          <t>●</t>
        </is>
      </c>
      <c r="L126" s="7" t="inlineStr">
        <is>
          <t>●</t>
        </is>
      </c>
      <c r="M126" s="7" t="inlineStr">
        <is>
          <t>●</t>
        </is>
      </c>
      <c r="N126" s="6" t="inlineStr">
        <is>
          <t>●</t>
        </is>
      </c>
      <c r="O126" s="8" t="inlineStr">
        <is>
          <t>FL « Cresson » : juil.-jan. (pleine oct.-nov.) · IF « Cresson » : sept.-mai · sept. seul : CV</t>
        </is>
      </c>
      <c r="P126" s="8" t="inlineStr"/>
    </row>
    <row r="127">
      <c r="A127" s="4" t="inlineStr">
        <is>
          <t>Légume · feuilles &amp; salades</t>
        </is>
      </c>
      <c r="B127" s="5" t="inlineStr">
        <is>
          <t>Pourpier</t>
        </is>
      </c>
      <c r="C127" s="9" t="n"/>
      <c r="D127" s="9" t="n"/>
      <c r="E127" s="9" t="n"/>
      <c r="F127" s="6" t="inlineStr">
        <is>
          <t>●</t>
        </is>
      </c>
      <c r="G127" s="6" t="inlineStr">
        <is>
          <t>●</t>
        </is>
      </c>
      <c r="H127" s="6" t="inlineStr">
        <is>
          <t>●</t>
        </is>
      </c>
      <c r="I127" s="6" t="inlineStr">
        <is>
          <t>●</t>
        </is>
      </c>
      <c r="J127" s="6" t="inlineStr">
        <is>
          <t>●</t>
        </is>
      </c>
      <c r="K127" s="6" t="inlineStr">
        <is>
          <t>●</t>
        </is>
      </c>
      <c r="L127" s="6" t="inlineStr">
        <is>
          <t>●</t>
        </is>
      </c>
      <c r="M127" s="6" t="inlineStr">
        <is>
          <t>●</t>
        </is>
      </c>
      <c r="N127" s="9" t="n"/>
      <c r="O127" s="8" t="inlineStr">
        <is>
          <t>IF « Pourpier » : avr.-nov. · sept. seul : GP</t>
        </is>
      </c>
      <c r="P127" s="8" t="inlineStr"/>
    </row>
    <row r="128">
      <c r="A128" s="4" t="inlineStr">
        <is>
          <t>Légume · feuilles &amp; salades</t>
        </is>
      </c>
      <c r="B128" s="5" t="inlineStr">
        <is>
          <t>Pissenlit</t>
        </is>
      </c>
      <c r="C128" s="6" t="inlineStr">
        <is>
          <t>●</t>
        </is>
      </c>
      <c r="D128" s="6" t="inlineStr">
        <is>
          <t>●</t>
        </is>
      </c>
      <c r="E128" s="6" t="inlineStr">
        <is>
          <t>●</t>
        </is>
      </c>
      <c r="F128" s="6" t="inlineStr">
        <is>
          <t>●</t>
        </is>
      </c>
      <c r="G128" s="6" t="inlineStr">
        <is>
          <t>●</t>
        </is>
      </c>
      <c r="H128" s="6" t="inlineStr">
        <is>
          <t>●</t>
        </is>
      </c>
      <c r="I128" s="6" t="inlineStr">
        <is>
          <t>●</t>
        </is>
      </c>
      <c r="J128" s="6" t="inlineStr">
        <is>
          <t>●</t>
        </is>
      </c>
      <c r="K128" s="6" t="inlineStr">
        <is>
          <t>●</t>
        </is>
      </c>
      <c r="L128" s="6" t="inlineStr">
        <is>
          <t>●</t>
        </is>
      </c>
      <c r="M128" s="6" t="inlineStr">
        <is>
          <t>●</t>
        </is>
      </c>
      <c r="N128" s="6" t="inlineStr">
        <is>
          <t>●</t>
        </is>
      </c>
      <c r="O128" s="8" t="inlineStr">
        <is>
          <t>IF fiche salade (toute l'année) : toute l'année</t>
        </is>
      </c>
      <c r="P128" s="8" t="inlineStr"/>
    </row>
    <row r="129">
      <c r="A129" s="4" t="inlineStr">
        <is>
          <t>Légume · feuilles &amp; salades</t>
        </is>
      </c>
      <c r="B129" s="5" t="inlineStr">
        <is>
          <t>Pousses d'épinard / mesclun</t>
        </is>
      </c>
      <c r="C129" s="6" t="inlineStr">
        <is>
          <t>●</t>
        </is>
      </c>
      <c r="D129" s="6" t="inlineStr">
        <is>
          <t>●</t>
        </is>
      </c>
      <c r="E129" s="6" t="inlineStr">
        <is>
          <t>●</t>
        </is>
      </c>
      <c r="F129" s="6" t="inlineStr">
        <is>
          <t>●</t>
        </is>
      </c>
      <c r="G129" s="6" t="inlineStr">
        <is>
          <t>●</t>
        </is>
      </c>
      <c r="H129" s="6" t="inlineStr">
        <is>
          <t>●</t>
        </is>
      </c>
      <c r="I129" s="6" t="inlineStr">
        <is>
          <t>●</t>
        </is>
      </c>
      <c r="J129" s="6" t="inlineStr">
        <is>
          <t>●</t>
        </is>
      </c>
      <c r="K129" s="6" t="inlineStr">
        <is>
          <t>●</t>
        </is>
      </c>
      <c r="L129" s="6" t="inlineStr">
        <is>
          <t>●</t>
        </is>
      </c>
      <c r="M129" s="6" t="inlineStr">
        <is>
          <t>●</t>
        </is>
      </c>
      <c r="N129" s="6" t="inlineStr">
        <is>
          <t>●</t>
        </is>
      </c>
      <c r="O129" s="8" t="inlineStr">
        <is>
          <t>IF « Salade » : toute l'année</t>
        </is>
      </c>
      <c r="P129" s="8" t="inlineStr"/>
    </row>
    <row r="130">
      <c r="A130" s="4" t="inlineStr">
        <is>
          <t>Légume · feuilles &amp; salades</t>
        </is>
      </c>
      <c r="B130" s="5" t="inlineStr">
        <is>
          <t>Épinard</t>
        </is>
      </c>
      <c r="C130" s="7" t="inlineStr">
        <is>
          <t>●</t>
        </is>
      </c>
      <c r="D130" s="7" t="inlineStr">
        <is>
          <t>●</t>
        </is>
      </c>
      <c r="E130" s="7" t="inlineStr">
        <is>
          <t>●</t>
        </is>
      </c>
      <c r="F130" s="7" t="inlineStr">
        <is>
          <t>●</t>
        </is>
      </c>
      <c r="G130" s="7" t="inlineStr">
        <is>
          <t>●</t>
        </is>
      </c>
      <c r="H130" s="6" t="inlineStr">
        <is>
          <t>●</t>
        </is>
      </c>
      <c r="I130" s="6" t="inlineStr">
        <is>
          <t>●</t>
        </is>
      </c>
      <c r="J130" s="6" t="inlineStr">
        <is>
          <t>●</t>
        </is>
      </c>
      <c r="K130" s="6" t="inlineStr">
        <is>
          <t>●</t>
        </is>
      </c>
      <c r="L130" s="7" t="inlineStr">
        <is>
          <t>●</t>
        </is>
      </c>
      <c r="M130" s="7" t="inlineStr">
        <is>
          <t>●</t>
        </is>
      </c>
      <c r="N130" s="7" t="inlineStr">
        <is>
          <t>●</t>
        </is>
      </c>
      <c r="O130" s="8" t="inlineStr">
        <is>
          <t>FL « Epinard » : avr.-nov. (pleine mai, oct.) · GP « Épinard » : toute l'année · IF « Épinard » : sept.-juin (pleine oct.-mai) · BNA « épinard » : toute l'année · sept. seul : DBB</t>
        </is>
      </c>
      <c r="P130" s="8" t="inlineStr"/>
    </row>
    <row r="131">
      <c r="A131" s="4" t="inlineStr">
        <is>
          <t>Légume · feuilles &amp; salades</t>
        </is>
      </c>
      <c r="B131" s="5" t="inlineStr">
        <is>
          <t>Blette / bette à carde</t>
        </is>
      </c>
      <c r="C131" s="6" t="inlineStr">
        <is>
          <t>●</t>
        </is>
      </c>
      <c r="D131" s="6" t="inlineStr">
        <is>
          <t>●</t>
        </is>
      </c>
      <c r="E131" s="6" t="inlineStr">
        <is>
          <t>●</t>
        </is>
      </c>
      <c r="F131" s="6" t="inlineStr">
        <is>
          <t>●</t>
        </is>
      </c>
      <c r="G131" s="6" t="inlineStr">
        <is>
          <t>●</t>
        </is>
      </c>
      <c r="H131" s="6" t="inlineStr">
        <is>
          <t>●</t>
        </is>
      </c>
      <c r="I131" s="7" t="inlineStr">
        <is>
          <t>●</t>
        </is>
      </c>
      <c r="J131" s="7" t="inlineStr">
        <is>
          <t>●</t>
        </is>
      </c>
      <c r="K131" s="6" t="inlineStr">
        <is>
          <t>●</t>
        </is>
      </c>
      <c r="L131" s="6" t="inlineStr">
        <is>
          <t>●</t>
        </is>
      </c>
      <c r="M131" s="6" t="inlineStr">
        <is>
          <t>●</t>
        </is>
      </c>
      <c r="N131" s="6" t="inlineStr">
        <is>
          <t>●</t>
        </is>
      </c>
      <c r="O131" s="8" t="inlineStr">
        <is>
          <t>FL « Bette » : avr.-oct. (pleine juil.-août) · GP « Blette » : mars-oct. · IF « Blette » : toute l'année · BNA « blette » : toute l'année · sept. seul : GF, DBB, CV</t>
        </is>
      </c>
      <c r="P131" s="8" t="inlineStr"/>
    </row>
    <row r="132">
      <c r="A132" s="4" t="inlineStr">
        <is>
          <t>Légume · feuilles &amp; salades</t>
        </is>
      </c>
      <c r="B132" s="5" t="inlineStr">
        <is>
          <t>Oseille</t>
        </is>
      </c>
      <c r="C132" s="9" t="n"/>
      <c r="D132" s="9" t="n"/>
      <c r="E132" s="9" t="n"/>
      <c r="F132" s="9" t="n"/>
      <c r="G132" s="6" t="inlineStr">
        <is>
          <t>●</t>
        </is>
      </c>
      <c r="H132" s="6" t="inlineStr">
        <is>
          <t>●</t>
        </is>
      </c>
      <c r="I132" s="6" t="inlineStr">
        <is>
          <t>●</t>
        </is>
      </c>
      <c r="J132" s="6" t="inlineStr">
        <is>
          <t>●</t>
        </is>
      </c>
      <c r="K132" s="6" t="inlineStr">
        <is>
          <t>●</t>
        </is>
      </c>
      <c r="L132" s="6" t="inlineStr">
        <is>
          <t>●</t>
        </is>
      </c>
      <c r="M132" s="9" t="n"/>
      <c r="N132" s="9" t="n"/>
      <c r="O132" s="8" t="inlineStr">
        <is>
          <t>IF « Oseille » : mai-oct.</t>
        </is>
      </c>
      <c r="P132" s="8" t="inlineStr"/>
    </row>
    <row r="133">
      <c r="A133" s="4" t="inlineStr">
        <is>
          <t>Légume · feuilles &amp; salades</t>
        </is>
      </c>
      <c r="B133" s="5" t="inlineStr">
        <is>
          <t>Tétragone</t>
        </is>
      </c>
      <c r="C133" s="9" t="n"/>
      <c r="D133" s="9" t="n"/>
      <c r="E133" s="9" t="n"/>
      <c r="F133" s="9" t="n"/>
      <c r="G133" s="9" t="n"/>
      <c r="H133" s="6" t="inlineStr">
        <is>
          <t>●</t>
        </is>
      </c>
      <c r="I133" s="6" t="inlineStr">
        <is>
          <t>●</t>
        </is>
      </c>
      <c r="J133" s="7" t="inlineStr">
        <is>
          <t>●</t>
        </is>
      </c>
      <c r="K133" s="7" t="inlineStr">
        <is>
          <t>●</t>
        </is>
      </c>
      <c r="L133" s="6" t="inlineStr">
        <is>
          <t>●</t>
        </is>
      </c>
      <c r="M133" s="9" t="n"/>
      <c r="N133" s="9" t="n"/>
      <c r="O133" s="8" t="inlineStr">
        <is>
          <t>FL « Tétragone » : juin-oct. (pleine août-sept.)</t>
        </is>
      </c>
      <c r="P133" s="8" t="inlineStr"/>
    </row>
    <row r="134">
      <c r="A134" s="4" t="inlineStr">
        <is>
          <t>Légume · feuilles &amp; salades</t>
        </is>
      </c>
      <c r="B134" s="5" t="inlineStr">
        <is>
          <t>Mizuna / moutardes asiatiques</t>
        </is>
      </c>
      <c r="C134" s="6" t="inlineStr">
        <is>
          <t>●</t>
        </is>
      </c>
      <c r="D134" s="6" t="inlineStr">
        <is>
          <t>●</t>
        </is>
      </c>
      <c r="E134" s="9" t="n"/>
      <c r="F134" s="6" t="inlineStr">
        <is>
          <t>●</t>
        </is>
      </c>
      <c r="G134" s="6" t="inlineStr">
        <is>
          <t>●</t>
        </is>
      </c>
      <c r="H134" s="6" t="inlineStr">
        <is>
          <t>●</t>
        </is>
      </c>
      <c r="I134" s="6" t="inlineStr">
        <is>
          <t>●</t>
        </is>
      </c>
      <c r="J134" s="6" t="inlineStr">
        <is>
          <t>●</t>
        </is>
      </c>
      <c r="K134" s="6" t="inlineStr">
        <is>
          <t>●</t>
        </is>
      </c>
      <c r="L134" s="6" t="inlineStr">
        <is>
          <t>●</t>
        </is>
      </c>
      <c r="M134" s="6" t="inlineStr">
        <is>
          <t>●</t>
        </is>
      </c>
      <c r="N134" s="6" t="inlineStr">
        <is>
          <t>●</t>
        </is>
      </c>
      <c r="O134" s="8" t="inlineStr">
        <is>
          <t>GSM (plein champ) : avr.-nov. · ADP (semis d'août-sept., salade d'hiver) : oct.-fév.</t>
        </is>
      </c>
      <c r="P134" s="8" t="inlineStr">
        <is>
          <t>Aucune source consultée</t>
        </is>
      </c>
    </row>
    <row r="135">
      <c r="A135" s="4" t="inlineStr">
        <is>
          <t>Légume · feuilles &amp; salades</t>
        </is>
      </c>
      <c r="B135" s="5" t="inlineStr">
        <is>
          <t>Cardon</t>
        </is>
      </c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6" t="inlineStr">
        <is>
          <t>●</t>
        </is>
      </c>
      <c r="N135" s="6" t="inlineStr">
        <is>
          <t>●</t>
        </is>
      </c>
      <c r="O135" s="8" t="inlineStr">
        <is>
          <t>GP « Cardon » : nov. · BNA « cardon » : déc.</t>
        </is>
      </c>
      <c r="P135" s="8" t="inlineStr"/>
    </row>
    <row r="136">
      <c r="A136" s="2" t="inlineStr">
        <is>
          <t>Légume · tiges &amp; fleurs</t>
        </is>
      </c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</row>
    <row r="137">
      <c r="A137" s="4" t="inlineStr">
        <is>
          <t>Légume · tiges &amp; fleurs</t>
        </is>
      </c>
      <c r="B137" s="5" t="inlineStr">
        <is>
          <t>Fenouil</t>
        </is>
      </c>
      <c r="C137" s="9" t="n"/>
      <c r="D137" s="7" t="inlineStr">
        <is>
          <t>●</t>
        </is>
      </c>
      <c r="E137" s="9" t="n"/>
      <c r="F137" s="9" t="n"/>
      <c r="G137" s="7" t="inlineStr">
        <is>
          <t>●</t>
        </is>
      </c>
      <c r="H137" s="6" t="inlineStr">
        <is>
          <t>●</t>
        </is>
      </c>
      <c r="I137" s="6" t="inlineStr">
        <is>
          <t>●</t>
        </is>
      </c>
      <c r="J137" s="6" t="inlineStr">
        <is>
          <t>●</t>
        </is>
      </c>
      <c r="K137" s="7" t="inlineStr">
        <is>
          <t>●</t>
        </is>
      </c>
      <c r="L137" s="7" t="inlineStr">
        <is>
          <t>●</t>
        </is>
      </c>
      <c r="M137" s="7" t="inlineStr">
        <is>
          <t>●</t>
        </is>
      </c>
      <c r="N137" s="7" t="inlineStr">
        <is>
          <t>●</t>
        </is>
      </c>
      <c r="O137" s="8" t="inlineStr">
        <is>
          <t>FL « Fenouil » : mai-nov. (pleine sept.-oct.) · GP « Fenouil » : juin-nov. · IF « Fenouil » : sept.-juil. (pleine oct.-mai) · BNA « fenouil » : fév., mai-déc. · sept. seul : DBB, CV</t>
        </is>
      </c>
      <c r="P137" s="8" t="inlineStr"/>
    </row>
    <row r="138">
      <c r="A138" s="4" t="inlineStr">
        <is>
          <t>Légume · tiges &amp; fleurs</t>
        </is>
      </c>
      <c r="B138" s="5" t="inlineStr">
        <is>
          <t>Artichaut (camus, gros)</t>
        </is>
      </c>
      <c r="C138" s="9" t="n"/>
      <c r="D138" s="9" t="n"/>
      <c r="E138" s="9" t="n"/>
      <c r="F138" s="7" t="inlineStr">
        <is>
          <t>●</t>
        </is>
      </c>
      <c r="G138" s="7" t="inlineStr">
        <is>
          <t>●</t>
        </is>
      </c>
      <c r="H138" s="7" t="inlineStr">
        <is>
          <t>●</t>
        </is>
      </c>
      <c r="I138" s="7" t="inlineStr">
        <is>
          <t>●</t>
        </is>
      </c>
      <c r="J138" s="6" t="inlineStr">
        <is>
          <t>●</t>
        </is>
      </c>
      <c r="K138" s="6" t="inlineStr">
        <is>
          <t>●</t>
        </is>
      </c>
      <c r="L138" s="6" t="inlineStr">
        <is>
          <t>●</t>
        </is>
      </c>
      <c r="M138" s="9" t="n"/>
      <c r="N138" s="9" t="n"/>
      <c r="O138" s="8" t="inlineStr">
        <is>
          <t>FL « Artichaut » : juin-sept. (pleine juin-juil.) · GP « Artichaut » : avr.-sept. · IF « Artichaut » : jan.-juin, oct. (pleine fév.-juin) · BNA « artichaut » : mai-nov. · sept. seul : DBB, CV</t>
        </is>
      </c>
      <c r="P138" s="8" t="inlineStr"/>
    </row>
    <row r="139">
      <c r="A139" s="4" t="inlineStr">
        <is>
          <t>Légume · tiges &amp; fleurs</t>
        </is>
      </c>
      <c r="B139" s="5" t="inlineStr">
        <is>
          <t>Artichaut violet / poivrade</t>
        </is>
      </c>
      <c r="C139" s="9" t="n"/>
      <c r="D139" s="9" t="n"/>
      <c r="E139" s="9" t="n"/>
      <c r="F139" s="7" t="inlineStr">
        <is>
          <t>●</t>
        </is>
      </c>
      <c r="G139" s="7" t="inlineStr">
        <is>
          <t>●</t>
        </is>
      </c>
      <c r="H139" s="7" t="inlineStr">
        <is>
          <t>●</t>
        </is>
      </c>
      <c r="I139" s="7" t="inlineStr">
        <is>
          <t>●</t>
        </is>
      </c>
      <c r="J139" s="6" t="inlineStr">
        <is>
          <t>●</t>
        </is>
      </c>
      <c r="K139" s="6" t="inlineStr">
        <is>
          <t>●</t>
        </is>
      </c>
      <c r="L139" s="6" t="inlineStr">
        <is>
          <t>●</t>
        </is>
      </c>
      <c r="M139" s="9" t="n"/>
      <c r="N139" s="9" t="n"/>
      <c r="O139" s="8">
        <f> Artichaut (camus, gros) (assimilé)</f>
        <v/>
      </c>
      <c r="P139" s="8" t="inlineStr"/>
    </row>
    <row r="140">
      <c r="A140" s="4" t="inlineStr">
        <is>
          <t>Légume · tiges &amp; fleurs</t>
        </is>
      </c>
      <c r="B140" s="5" t="inlineStr">
        <is>
          <t>Rhubarbe</t>
        </is>
      </c>
      <c r="C140" s="9" t="n"/>
      <c r="D140" s="9" t="n"/>
      <c r="E140" s="9" t="n"/>
      <c r="F140" s="9" t="n"/>
      <c r="G140" s="7" t="inlineStr">
        <is>
          <t>●</t>
        </is>
      </c>
      <c r="H140" s="7" t="inlineStr">
        <is>
          <t>●</t>
        </is>
      </c>
      <c r="I140" s="7" t="inlineStr">
        <is>
          <t>●</t>
        </is>
      </c>
      <c r="J140" s="9" t="n"/>
      <c r="K140" s="9" t="n"/>
      <c r="L140" s="9" t="n"/>
      <c r="M140" s="9" t="n"/>
      <c r="N140" s="9" t="n"/>
      <c r="O140" s="8" t="inlineStr">
        <is>
          <t>IF « Rhubarbe » : mai-oct. (pleine mai-oct.) · FL « Rhubarbe » : mai-juin (pleine mai-juin) · GP « Rhubarbe » : mai-juil. · BNA « rhubarbe » : avr.-mai</t>
        </is>
      </c>
      <c r="P140" s="8" t="inlineStr">
        <is>
          <t>FL (mai-juin) et GP (mai-juil.) l'excluent : 2e pousse d'automne</t>
        </is>
      </c>
    </row>
    <row r="141">
      <c r="A141" s="4" t="inlineStr">
        <is>
          <t>Légume · tiges &amp; fleurs</t>
        </is>
      </c>
      <c r="B141" s="5" t="inlineStr">
        <is>
          <t>Salicorne</t>
        </is>
      </c>
      <c r="C141" s="9" t="n"/>
      <c r="D141" s="9" t="n"/>
      <c r="E141" s="9" t="n"/>
      <c r="F141" s="9" t="n"/>
      <c r="G141" s="6" t="inlineStr">
        <is>
          <t>●</t>
        </is>
      </c>
      <c r="H141" s="6" t="inlineStr">
        <is>
          <t>●</t>
        </is>
      </c>
      <c r="I141" s="6" t="inlineStr">
        <is>
          <t>●</t>
        </is>
      </c>
      <c r="J141" s="6" t="inlineStr">
        <is>
          <t>●</t>
        </is>
      </c>
      <c r="K141" s="9" t="n"/>
      <c r="L141" s="9" t="n"/>
      <c r="M141" s="9" t="n"/>
      <c r="N141" s="9" t="n"/>
      <c r="O141" s="8" t="inlineStr">
        <is>
          <t>ML (mi-mai-fin août ; arrêté Pas-de-Calais 2025 : 2 juin-31 août) : mai-août</t>
        </is>
      </c>
      <c r="P141" s="8" t="inlineStr">
        <is>
          <t>Aucune source consultée</t>
        </is>
      </c>
    </row>
    <row r="142">
      <c r="A142" s="2" t="inlineStr">
        <is>
          <t>Champignon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</row>
    <row r="143">
      <c r="A143" s="4" t="inlineStr">
        <is>
          <t>Champignon</t>
        </is>
      </c>
      <c r="B143" s="5" t="inlineStr">
        <is>
          <t>Champignon de Paris</t>
        </is>
      </c>
      <c r="C143" s="10" t="inlineStr">
        <is>
          <t>●</t>
        </is>
      </c>
      <c r="D143" s="10" t="inlineStr">
        <is>
          <t>●</t>
        </is>
      </c>
      <c r="E143" s="10" t="inlineStr">
        <is>
          <t>●</t>
        </is>
      </c>
      <c r="F143" s="10" t="inlineStr">
        <is>
          <t>●</t>
        </is>
      </c>
      <c r="G143" s="10" t="inlineStr">
        <is>
          <t>●</t>
        </is>
      </c>
      <c r="H143" s="11" t="inlineStr">
        <is>
          <t>●</t>
        </is>
      </c>
      <c r="I143" s="11" t="inlineStr">
        <is>
          <t>●</t>
        </is>
      </c>
      <c r="J143" s="11" t="inlineStr">
        <is>
          <t>●</t>
        </is>
      </c>
      <c r="K143" s="11" t="inlineStr">
        <is>
          <t>●</t>
        </is>
      </c>
      <c r="L143" s="10" t="inlineStr">
        <is>
          <t>●</t>
        </is>
      </c>
      <c r="M143" s="10" t="inlineStr">
        <is>
          <t>●</t>
        </is>
      </c>
      <c r="N143" s="10" t="inlineStr">
        <is>
          <t>●</t>
        </is>
      </c>
      <c r="O143" s="8" t="inlineStr">
        <is>
          <t>FL « Champignon de Paris » : toute l'année (pleine oct.-nov.) · IF « Champignon de Paris » : toute l'année (pleine oct.-mai) · sept. seul : GF</t>
        </is>
      </c>
      <c r="P143" s="8" t="inlineStr"/>
    </row>
    <row r="144">
      <c r="A144" s="4" t="inlineStr">
        <is>
          <t>Champignon</t>
        </is>
      </c>
      <c r="B144" s="5" t="inlineStr">
        <is>
          <t>Pleurote</t>
        </is>
      </c>
      <c r="C144" s="11" t="inlineStr">
        <is>
          <t>●</t>
        </is>
      </c>
      <c r="D144" s="11" t="inlineStr">
        <is>
          <t>●</t>
        </is>
      </c>
      <c r="E144" s="11" t="inlineStr">
        <is>
          <t>●</t>
        </is>
      </c>
      <c r="F144" s="11" t="inlineStr">
        <is>
          <t>●</t>
        </is>
      </c>
      <c r="G144" s="11" t="inlineStr">
        <is>
          <t>●</t>
        </is>
      </c>
      <c r="H144" s="11" t="inlineStr">
        <is>
          <t>●</t>
        </is>
      </c>
      <c r="I144" s="9" t="n"/>
      <c r="J144" s="9" t="n"/>
      <c r="K144" s="11" t="inlineStr">
        <is>
          <t>●</t>
        </is>
      </c>
      <c r="L144" s="11" t="inlineStr">
        <is>
          <t>●</t>
        </is>
      </c>
      <c r="M144" s="11" t="inlineStr">
        <is>
          <t>●</t>
        </is>
      </c>
      <c r="N144" s="11" t="inlineStr">
        <is>
          <t>●</t>
        </is>
      </c>
      <c r="O144" s="8" t="inlineStr">
        <is>
          <t>IF « Champignons cultivés » : sept.-juin · MC (Pleurote) : oct.-fév.</t>
        </is>
      </c>
      <c r="P144" s="8" t="inlineStr">
        <is>
          <t>MC donne oct.-fév.</t>
        </is>
      </c>
    </row>
    <row r="145">
      <c r="A145" s="4" t="inlineStr">
        <is>
          <t>Champignon</t>
        </is>
      </c>
      <c r="B145" s="5" t="inlineStr">
        <is>
          <t>Shiitaké</t>
        </is>
      </c>
      <c r="C145" s="11" t="inlineStr">
        <is>
          <t>●</t>
        </is>
      </c>
      <c r="D145" s="11" t="inlineStr">
        <is>
          <t>●</t>
        </is>
      </c>
      <c r="E145" s="11" t="inlineStr">
        <is>
          <t>●</t>
        </is>
      </c>
      <c r="F145" s="11" t="inlineStr">
        <is>
          <t>●</t>
        </is>
      </c>
      <c r="G145" s="11" t="inlineStr">
        <is>
          <t>●</t>
        </is>
      </c>
      <c r="H145" s="11" t="inlineStr">
        <is>
          <t>●</t>
        </is>
      </c>
      <c r="I145" s="11" t="inlineStr">
        <is>
          <t>●</t>
        </is>
      </c>
      <c r="J145" s="11" t="inlineStr">
        <is>
          <t>●</t>
        </is>
      </c>
      <c r="K145" s="11" t="inlineStr">
        <is>
          <t>●</t>
        </is>
      </c>
      <c r="L145" s="10" t="inlineStr">
        <is>
          <t>●</t>
        </is>
      </c>
      <c r="M145" s="10" t="inlineStr">
        <is>
          <t>●</t>
        </is>
      </c>
      <c r="N145" s="11" t="inlineStr">
        <is>
          <t>●</t>
        </is>
      </c>
      <c r="O145" s="8" t="inlineStr">
        <is>
          <t>FL « Shiitaké » : toute l'année (pleine oct.-nov.) · IF « Champignons cultivés » : sept.-juin</t>
        </is>
      </c>
      <c r="P145" s="8" t="inlineStr"/>
    </row>
    <row r="146">
      <c r="A146" s="4" t="inlineStr">
        <is>
          <t>Champignon</t>
        </is>
      </c>
      <c r="B146" s="5" t="inlineStr">
        <is>
          <t>Cèpe / bolets</t>
        </is>
      </c>
      <c r="C146" s="9" t="n"/>
      <c r="D146" s="9" t="n"/>
      <c r="E146" s="9" t="n"/>
      <c r="F146" s="9" t="n"/>
      <c r="G146" s="9" t="n"/>
      <c r="H146" s="9" t="n"/>
      <c r="I146" s="9" t="n"/>
      <c r="J146" s="11" t="inlineStr">
        <is>
          <t>●</t>
        </is>
      </c>
      <c r="K146" s="10" t="inlineStr">
        <is>
          <t>●</t>
        </is>
      </c>
      <c r="L146" s="10" t="inlineStr">
        <is>
          <t>●</t>
        </is>
      </c>
      <c r="M146" s="11" t="inlineStr">
        <is>
          <t>●</t>
        </is>
      </c>
      <c r="N146" s="9" t="n"/>
      <c r="O146" s="8" t="inlineStr">
        <is>
          <t>FL « Cèpe » : août-nov. (pleine sept.-oct.) · IF « Cèpe » : août-nov. · MC (Cèpe) : août-nov. · sept. seul : GP, GF, DBB, CDC</t>
        </is>
      </c>
      <c r="P146" s="8" t="inlineStr"/>
    </row>
    <row r="147">
      <c r="A147" s="4" t="inlineStr">
        <is>
          <t>Champignon</t>
        </is>
      </c>
      <c r="B147" s="5" t="inlineStr">
        <is>
          <t>Girolle / chanterelle</t>
        </is>
      </c>
      <c r="C147" s="9" t="n"/>
      <c r="D147" s="9" t="n"/>
      <c r="E147" s="9" t="n"/>
      <c r="F147" s="9" t="n"/>
      <c r="G147" s="9" t="n"/>
      <c r="H147" s="11" t="inlineStr">
        <is>
          <t>●</t>
        </is>
      </c>
      <c r="I147" s="11" t="inlineStr">
        <is>
          <t>●</t>
        </is>
      </c>
      <c r="J147" s="10" t="inlineStr">
        <is>
          <t>●</t>
        </is>
      </c>
      <c r="K147" s="10" t="inlineStr">
        <is>
          <t>●</t>
        </is>
      </c>
      <c r="L147" s="11" t="inlineStr">
        <is>
          <t>●</t>
        </is>
      </c>
      <c r="M147" s="11" t="inlineStr">
        <is>
          <t>●</t>
        </is>
      </c>
      <c r="N147" s="9" t="n"/>
      <c r="O147" s="8" t="inlineStr">
        <is>
          <t>FL « Girolle » : juin-nov. (pleine août-sept.) · MC (Girolle) : juin-nov. · sept. seul : GF, CDC</t>
        </is>
      </c>
      <c r="P147" s="8" t="inlineStr"/>
    </row>
    <row r="148">
      <c r="A148" s="4" t="inlineStr">
        <is>
          <t>Champignon</t>
        </is>
      </c>
      <c r="B148" s="5" t="inlineStr">
        <is>
          <t>Chanterelle en tube / grise</t>
        </is>
      </c>
      <c r="C148" s="9" t="n"/>
      <c r="D148" s="9" t="n"/>
      <c r="E148" s="9" t="n"/>
      <c r="F148" s="9" t="n"/>
      <c r="G148" s="9" t="n"/>
      <c r="H148" s="11" t="inlineStr">
        <is>
          <t>●</t>
        </is>
      </c>
      <c r="I148" s="11" t="inlineStr">
        <is>
          <t>●</t>
        </is>
      </c>
      <c r="J148" s="10" t="inlineStr">
        <is>
          <t>●</t>
        </is>
      </c>
      <c r="K148" s="10" t="inlineStr">
        <is>
          <t>●</t>
        </is>
      </c>
      <c r="L148" s="11" t="inlineStr">
        <is>
          <t>●</t>
        </is>
      </c>
      <c r="M148" s="11" t="inlineStr">
        <is>
          <t>●</t>
        </is>
      </c>
      <c r="N148" s="9" t="n"/>
      <c r="O148" s="8">
        <f> Girolle / chanterelle (assimilé)</f>
        <v/>
      </c>
      <c r="P148" s="8" t="inlineStr"/>
    </row>
    <row r="149">
      <c r="A149" s="4" t="inlineStr">
        <is>
          <t>Champignon</t>
        </is>
      </c>
      <c r="B149" s="5" t="inlineStr">
        <is>
          <t>Trompette de la mort</t>
        </is>
      </c>
      <c r="C149" s="9" t="n"/>
      <c r="D149" s="9" t="n"/>
      <c r="E149" s="9" t="n"/>
      <c r="F149" s="9" t="n"/>
      <c r="G149" s="9" t="n"/>
      <c r="H149" s="9" t="n"/>
      <c r="I149" s="9" t="n"/>
      <c r="J149" s="9" t="n"/>
      <c r="K149" s="11" t="inlineStr">
        <is>
          <t>●</t>
        </is>
      </c>
      <c r="L149" s="10" t="inlineStr">
        <is>
          <t>●</t>
        </is>
      </c>
      <c r="M149" s="11" t="inlineStr">
        <is>
          <t>●</t>
        </is>
      </c>
      <c r="N149" s="11" t="inlineStr">
        <is>
          <t>●</t>
        </is>
      </c>
      <c r="O149" s="8" t="inlineStr">
        <is>
          <t>FL « Trompette de la mort » : sept.-nov. (pleine oct.) · MC (Trompette de la mort) : sept.-déc. · sept. seul : GF</t>
        </is>
      </c>
      <c r="P149" s="8" t="inlineStr"/>
    </row>
    <row r="150">
      <c r="A150" s="4" t="inlineStr">
        <is>
          <t>Champignon</t>
        </is>
      </c>
      <c r="B150" s="5" t="inlineStr">
        <is>
          <t>Pied de mouton</t>
        </is>
      </c>
      <c r="C150" s="9" t="n"/>
      <c r="D150" s="9" t="n"/>
      <c r="E150" s="9" t="n"/>
      <c r="F150" s="9" t="n"/>
      <c r="G150" s="9" t="n"/>
      <c r="H150" s="9" t="n"/>
      <c r="I150" s="9" t="n"/>
      <c r="J150" s="11" t="inlineStr">
        <is>
          <t>●</t>
        </is>
      </c>
      <c r="K150" s="11" t="inlineStr">
        <is>
          <t>●</t>
        </is>
      </c>
      <c r="L150" s="10" t="inlineStr">
        <is>
          <t>●</t>
        </is>
      </c>
      <c r="M150" s="11" t="inlineStr">
        <is>
          <t>●</t>
        </is>
      </c>
      <c r="N150" s="9" t="n"/>
      <c r="O150" s="8" t="inlineStr">
        <is>
          <t>FL « Pied de mouton » : août-nov. (pleine oct.) · MC (Pied de mouton) : août-nov. · sept. seul : CDC</t>
        </is>
      </c>
      <c r="P150" s="8" t="inlineStr"/>
    </row>
    <row r="151">
      <c r="A151" s="4" t="inlineStr">
        <is>
          <t>Champignon</t>
        </is>
      </c>
      <c r="B151" s="5" t="inlineStr">
        <is>
          <t>Coulemelle</t>
        </is>
      </c>
      <c r="C151" s="9" t="n"/>
      <c r="D151" s="9" t="n"/>
      <c r="E151" s="9" t="n"/>
      <c r="F151" s="9" t="n"/>
      <c r="G151" s="9" t="n"/>
      <c r="H151" s="9" t="n"/>
      <c r="I151" s="9" t="n"/>
      <c r="J151" s="9" t="n"/>
      <c r="K151" s="11" t="inlineStr">
        <is>
          <t>●</t>
        </is>
      </c>
      <c r="L151" s="11" t="inlineStr">
        <is>
          <t>●</t>
        </is>
      </c>
      <c r="M151" s="9" t="n"/>
      <c r="N151" s="9" t="n"/>
      <c r="O151" s="8" t="inlineStr">
        <is>
          <t>MC (Coulemelle) : sept.-oct. · sept. seul : CDC</t>
        </is>
      </c>
      <c r="P151" s="8" t="inlineStr"/>
    </row>
    <row r="152">
      <c r="A152" s="4" t="inlineStr">
        <is>
          <t>Champignon</t>
        </is>
      </c>
      <c r="B152" s="5" t="inlineStr">
        <is>
          <t>Rosé des prés</t>
        </is>
      </c>
      <c r="C152" s="9" t="n"/>
      <c r="D152" s="9" t="n"/>
      <c r="E152" s="9" t="n"/>
      <c r="F152" s="9" t="n"/>
      <c r="G152" s="9" t="n"/>
      <c r="H152" s="9" t="n"/>
      <c r="I152" s="11" t="inlineStr">
        <is>
          <t>●</t>
        </is>
      </c>
      <c r="J152" s="11" t="inlineStr">
        <is>
          <t>●</t>
        </is>
      </c>
      <c r="K152" s="10" t="inlineStr">
        <is>
          <t>●</t>
        </is>
      </c>
      <c r="L152" s="10" t="inlineStr">
        <is>
          <t>●</t>
        </is>
      </c>
      <c r="M152" s="11" t="inlineStr">
        <is>
          <t>●</t>
        </is>
      </c>
      <c r="N152" s="9" t="n"/>
      <c r="O152" s="8" t="inlineStr">
        <is>
          <t>FL « Rosé des prés » : août-nov. (pleine sept.-oct.) · MC (Rosé des prés) : juil.-oct. · sept. seul : CDC</t>
        </is>
      </c>
      <c r="P152" s="8" t="inlineStr"/>
    </row>
    <row r="153">
      <c r="A153" s="4" t="inlineStr">
        <is>
          <t>Champignon</t>
        </is>
      </c>
      <c r="B153" s="5" t="inlineStr">
        <is>
          <t>Lactaire délicieux (sanguin)</t>
        </is>
      </c>
      <c r="C153" s="9" t="n"/>
      <c r="D153" s="9" t="n"/>
      <c r="E153" s="9" t="n"/>
      <c r="F153" s="9" t="n"/>
      <c r="G153" s="9" t="n"/>
      <c r="H153" s="9" t="n"/>
      <c r="I153" s="9" t="n"/>
      <c r="J153" s="9" t="n"/>
      <c r="K153" s="11" t="inlineStr">
        <is>
          <t>●</t>
        </is>
      </c>
      <c r="L153" s="11" t="inlineStr">
        <is>
          <t>●</t>
        </is>
      </c>
      <c r="M153" s="11" t="inlineStr">
        <is>
          <t>●</t>
        </is>
      </c>
      <c r="N153" s="9" t="n"/>
      <c r="O153" s="8" t="inlineStr">
        <is>
          <t>MC (Lactaire délicieux) : sept.-nov. · sept. seul : CDC</t>
        </is>
      </c>
      <c r="P153" s="8" t="inlineStr"/>
    </row>
    <row r="154">
      <c r="A154" s="4" t="inlineStr">
        <is>
          <t>Champignon</t>
        </is>
      </c>
      <c r="B154" s="5" t="inlineStr">
        <is>
          <t>Pied bleu</t>
        </is>
      </c>
      <c r="C154" s="11" t="inlineStr">
        <is>
          <t>●</t>
        </is>
      </c>
      <c r="D154" s="11" t="inlineStr">
        <is>
          <t>●</t>
        </is>
      </c>
      <c r="E154" s="9" t="n"/>
      <c r="F154" s="9" t="n"/>
      <c r="G154" s="9" t="n"/>
      <c r="H154" s="9" t="n"/>
      <c r="I154" s="9" t="n"/>
      <c r="J154" s="9" t="n"/>
      <c r="K154" s="11" t="inlineStr">
        <is>
          <t>●</t>
        </is>
      </c>
      <c r="L154" s="11" t="inlineStr">
        <is>
          <t>●</t>
        </is>
      </c>
      <c r="M154" s="11" t="inlineStr">
        <is>
          <t>●</t>
        </is>
      </c>
      <c r="N154" s="11" t="inlineStr">
        <is>
          <t>●</t>
        </is>
      </c>
      <c r="O154" s="8" t="inlineStr">
        <is>
          <t>MC (Pied bleu) : sept.-fév.</t>
        </is>
      </c>
      <c r="P154" s="8" t="inlineStr"/>
    </row>
    <row r="155">
      <c r="A155" s="4" t="inlineStr">
        <is>
          <t>Champignon</t>
        </is>
      </c>
      <c r="B155" s="5" t="inlineStr">
        <is>
          <t>Oronge (amanite des Césars)</t>
        </is>
      </c>
      <c r="C155" s="9" t="n"/>
      <c r="D155" s="9" t="n"/>
      <c r="E155" s="9" t="n"/>
      <c r="F155" s="9" t="n"/>
      <c r="G155" s="9" t="n"/>
      <c r="H155" s="9" t="n"/>
      <c r="I155" s="9" t="n"/>
      <c r="J155" s="11" t="inlineStr">
        <is>
          <t>●</t>
        </is>
      </c>
      <c r="K155" s="10" t="inlineStr">
        <is>
          <t>●</t>
        </is>
      </c>
      <c r="L155" s="10" t="inlineStr">
        <is>
          <t>●</t>
        </is>
      </c>
      <c r="M155" s="11" t="inlineStr">
        <is>
          <t>●</t>
        </is>
      </c>
      <c r="N155" s="9" t="n"/>
      <c r="O155" s="8" t="inlineStr">
        <is>
          <t>CLC (mi-sept.-mi-nov., dès mi-août dans le Sud-Ouest ; SDC : fortes cueillettes fin août-mi-oct.) : août-nov. (pleine sept.-oct.) · sept. seul : CDC</t>
        </is>
      </c>
      <c r="P155" s="8" t="inlineStr"/>
    </row>
    <row r="156">
      <c r="A156" s="4" t="inlineStr">
        <is>
          <t>Champignon</t>
        </is>
      </c>
      <c r="B156" s="5" t="inlineStr">
        <is>
          <t>Morille</t>
        </is>
      </c>
      <c r="C156" s="9" t="n"/>
      <c r="D156" s="9" t="n"/>
      <c r="E156" s="11" t="inlineStr">
        <is>
          <t>●</t>
        </is>
      </c>
      <c r="F156" s="11" t="inlineStr">
        <is>
          <t>●</t>
        </is>
      </c>
      <c r="G156" s="11" t="inlineStr">
        <is>
          <t>●</t>
        </is>
      </c>
      <c r="H156" s="9" t="n"/>
      <c r="I156" s="9" t="n"/>
      <c r="J156" s="9" t="n"/>
      <c r="K156" s="9" t="n"/>
      <c r="L156" s="9" t="n"/>
      <c r="M156" s="9" t="n"/>
      <c r="N156" s="9" t="n"/>
      <c r="O156" s="8" t="inlineStr">
        <is>
          <t>MC (Morille) : mars-mai · IF « Morille » : avr.-mai</t>
        </is>
      </c>
      <c r="P156" s="8" t="inlineStr"/>
    </row>
    <row r="157">
      <c r="A157" s="4" t="inlineStr">
        <is>
          <t>Champignon</t>
        </is>
      </c>
      <c r="B157" s="5" t="inlineStr">
        <is>
          <t>Mousseron (tricholome de la Saint-Georges)</t>
        </is>
      </c>
      <c r="C157" s="9" t="n"/>
      <c r="D157" s="9" t="n"/>
      <c r="E157" s="9" t="n"/>
      <c r="F157" s="11" t="inlineStr">
        <is>
          <t>●</t>
        </is>
      </c>
      <c r="G157" s="11" t="inlineStr">
        <is>
          <t>●</t>
        </is>
      </c>
      <c r="H157" s="9" t="n"/>
      <c r="I157" s="9" t="n"/>
      <c r="J157" s="9" t="n"/>
      <c r="K157" s="9" t="n"/>
      <c r="L157" s="9" t="n"/>
      <c r="M157" s="9" t="n"/>
      <c r="N157" s="9" t="n"/>
      <c r="O157" s="8" t="inlineStr">
        <is>
          <t>MC (Mousseron) : avr.-mai</t>
        </is>
      </c>
      <c r="P157" s="8" t="inlineStr"/>
    </row>
    <row r="158">
      <c r="A158" s="4" t="inlineStr">
        <is>
          <t>Champignon</t>
        </is>
      </c>
      <c r="B158" s="5" t="inlineStr">
        <is>
          <t>Truffe de Bourgogne / truffe d'été</t>
        </is>
      </c>
      <c r="C158" s="11" t="inlineStr">
        <is>
          <t>●</t>
        </is>
      </c>
      <c r="D158" s="11" t="inlineStr">
        <is>
          <t>●</t>
        </is>
      </c>
      <c r="E158" s="11" t="inlineStr">
        <is>
          <t>●</t>
        </is>
      </c>
      <c r="F158" s="9" t="n"/>
      <c r="G158" s="9" t="n"/>
      <c r="H158" s="9" t="n"/>
      <c r="I158" s="9" t="n"/>
      <c r="J158" s="9" t="n"/>
      <c r="K158" s="11" t="inlineStr">
        <is>
          <t>●</t>
        </is>
      </c>
      <c r="L158" s="11" t="inlineStr">
        <is>
          <t>●</t>
        </is>
      </c>
      <c r="M158" s="11" t="inlineStr">
        <is>
          <t>●</t>
        </is>
      </c>
      <c r="N158" s="11" t="inlineStr">
        <is>
          <t>●</t>
        </is>
      </c>
      <c r="O158" s="8" t="inlineStr">
        <is>
          <t>IF « Truffe » : sept.-mars</t>
        </is>
      </c>
      <c r="P158" s="8" t="inlineStr"/>
    </row>
    <row r="159">
      <c r="A159" s="4" t="inlineStr">
        <is>
          <t>Champignon</t>
        </is>
      </c>
      <c r="B159" s="5" t="inlineStr">
        <is>
          <t>Truffe noire du Périgord</t>
        </is>
      </c>
      <c r="C159" s="11" t="inlineStr">
        <is>
          <t>●</t>
        </is>
      </c>
      <c r="D159" s="11" t="inlineStr">
        <is>
          <t>●</t>
        </is>
      </c>
      <c r="E159" s="9" t="n"/>
      <c r="F159" s="9" t="n"/>
      <c r="G159" s="9" t="n"/>
      <c r="H159" s="9" t="n"/>
      <c r="I159" s="9" t="n"/>
      <c r="J159" s="9" t="n"/>
      <c r="K159" s="9" t="n"/>
      <c r="L159" s="9" t="n"/>
      <c r="M159" s="11" t="inlineStr">
        <is>
          <t>●</t>
        </is>
      </c>
      <c r="N159" s="11" t="inlineStr">
        <is>
          <t>●</t>
        </is>
      </c>
      <c r="O159" s="8" t="inlineStr">
        <is>
          <t>MC (Truffe noire) : nov.-fév.</t>
        </is>
      </c>
      <c r="P159" s="8" t="inlineStr"/>
    </row>
    <row r="160">
      <c r="A160" s="2" t="inlineStr">
        <is>
          <t>Herbe aromatique</t>
        </is>
      </c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</row>
    <row r="161">
      <c r="A161" s="4" t="inlineStr">
        <is>
          <t>Herbe aromatique</t>
        </is>
      </c>
      <c r="B161" s="5" t="inlineStr">
        <is>
          <t>Persil</t>
        </is>
      </c>
      <c r="C161" s="12" t="inlineStr">
        <is>
          <t>●</t>
        </is>
      </c>
      <c r="D161" s="12" t="inlineStr">
        <is>
          <t>●</t>
        </is>
      </c>
      <c r="E161" s="12" t="inlineStr">
        <is>
          <t>●</t>
        </is>
      </c>
      <c r="F161" s="12" t="inlineStr">
        <is>
          <t>●</t>
        </is>
      </c>
      <c r="G161" s="12" t="inlineStr">
        <is>
          <t>●</t>
        </is>
      </c>
      <c r="H161" s="12" t="inlineStr">
        <is>
          <t>●</t>
        </is>
      </c>
      <c r="I161" s="12" t="inlineStr">
        <is>
          <t>●</t>
        </is>
      </c>
      <c r="J161" s="12" t="inlineStr">
        <is>
          <t>●</t>
        </is>
      </c>
      <c r="K161" s="12" t="inlineStr">
        <is>
          <t>●</t>
        </is>
      </c>
      <c r="L161" s="12" t="inlineStr">
        <is>
          <t>●</t>
        </is>
      </c>
      <c r="M161" s="12" t="inlineStr">
        <is>
          <t>●</t>
        </is>
      </c>
      <c r="N161" s="12" t="inlineStr">
        <is>
          <t>●</t>
        </is>
      </c>
      <c r="O161" s="8" t="inlineStr">
        <is>
          <t>IF « Persil » : toute l'année · ML (Persil) : jan.-avr., juin, sept.-nov. · sept. seul : GF</t>
        </is>
      </c>
      <c r="P161" s="8" t="inlineStr"/>
    </row>
    <row r="162">
      <c r="A162" s="4" t="inlineStr">
        <is>
          <t>Herbe aromatique</t>
        </is>
      </c>
      <c r="B162" s="5" t="inlineStr">
        <is>
          <t>Basilic</t>
        </is>
      </c>
      <c r="C162" s="9" t="n"/>
      <c r="D162" s="9" t="n"/>
      <c r="E162" s="9" t="n"/>
      <c r="F162" s="9" t="n"/>
      <c r="G162" s="12" t="inlineStr">
        <is>
          <t>●</t>
        </is>
      </c>
      <c r="H162" s="12" t="inlineStr">
        <is>
          <t>●</t>
        </is>
      </c>
      <c r="I162" s="13" t="inlineStr">
        <is>
          <t>●</t>
        </is>
      </c>
      <c r="J162" s="13" t="inlineStr">
        <is>
          <t>●</t>
        </is>
      </c>
      <c r="K162" s="9" t="n"/>
      <c r="L162" s="9" t="n"/>
      <c r="M162" s="9" t="n"/>
      <c r="N162" s="9" t="n"/>
      <c r="O162" s="8" t="inlineStr">
        <is>
          <t>IF fiche herbes (feuilles toute l'année, pleine saison juil.-août) : toute l'année (pleine juil.-août) · ML (Basilic) : mai-août · JM (récolte : été) : juin-août</t>
        </is>
      </c>
      <c r="P162" s="8" t="inlineStr">
        <is>
          <t>ML donne mai-août</t>
        </is>
      </c>
    </row>
    <row r="163">
      <c r="A163" s="4" t="inlineStr">
        <is>
          <t>Herbe aromatique</t>
        </is>
      </c>
      <c r="B163" s="5" t="inlineStr">
        <is>
          <t>Ciboulette</t>
        </is>
      </c>
      <c r="C163" s="9" t="n"/>
      <c r="D163" s="9" t="n"/>
      <c r="E163" s="12" t="inlineStr">
        <is>
          <t>●</t>
        </is>
      </c>
      <c r="F163" s="12" t="inlineStr">
        <is>
          <t>●</t>
        </is>
      </c>
      <c r="G163" s="12" t="inlineStr">
        <is>
          <t>●</t>
        </is>
      </c>
      <c r="H163" s="12" t="inlineStr">
        <is>
          <t>●</t>
        </is>
      </c>
      <c r="I163" s="12" t="inlineStr">
        <is>
          <t>●</t>
        </is>
      </c>
      <c r="J163" s="12" t="inlineStr">
        <is>
          <t>●</t>
        </is>
      </c>
      <c r="K163" s="12" t="inlineStr">
        <is>
          <t>●</t>
        </is>
      </c>
      <c r="L163" s="12" t="inlineStr">
        <is>
          <t>●</t>
        </is>
      </c>
      <c r="M163" s="9" t="n"/>
      <c r="N163" s="9" t="n"/>
      <c r="O163" s="8" t="inlineStr">
        <is>
          <t>PJ (fin avr.-premières gelées) : avr.-oct. · ML (Ciboulette (hors pots d'intérieur)) : mars-mai</t>
        </is>
      </c>
      <c r="P163" s="8" t="inlineStr">
        <is>
          <t>ML la donne hors été</t>
        </is>
      </c>
    </row>
    <row r="164">
      <c r="A164" s="4" t="inlineStr">
        <is>
          <t>Herbe aromatique</t>
        </is>
      </c>
      <c r="B164" s="5" t="inlineStr">
        <is>
          <t>Coriandre</t>
        </is>
      </c>
      <c r="C164" s="9" t="n"/>
      <c r="D164" s="9" t="n"/>
      <c r="E164" s="12" t="inlineStr">
        <is>
          <t>●</t>
        </is>
      </c>
      <c r="F164" s="12" t="inlineStr">
        <is>
          <t>●</t>
        </is>
      </c>
      <c r="G164" s="12" t="inlineStr">
        <is>
          <t>●</t>
        </is>
      </c>
      <c r="H164" s="12" t="inlineStr">
        <is>
          <t>●</t>
        </is>
      </c>
      <c r="I164" s="12" t="inlineStr">
        <is>
          <t>●</t>
        </is>
      </c>
      <c r="J164" s="12" t="inlineStr">
        <is>
          <t>●</t>
        </is>
      </c>
      <c r="K164" s="12" t="inlineStr">
        <is>
          <t>●</t>
        </is>
      </c>
      <c r="L164" s="12" t="inlineStr">
        <is>
          <t>●</t>
        </is>
      </c>
      <c r="M164" s="9" t="n"/>
      <c r="N164" s="9" t="n"/>
      <c r="O164" s="8" t="inlineStr">
        <is>
          <t>JM (récolte mai-oct.) : mai-oct. · ML (Coriandre) : mars-mai, juil.-août</t>
        </is>
      </c>
      <c r="P164" s="8" t="inlineStr"/>
    </row>
    <row r="165">
      <c r="A165" s="4" t="inlineStr">
        <is>
          <t>Herbe aromatique</t>
        </is>
      </c>
      <c r="B165" s="5" t="inlineStr">
        <is>
          <t>Estragon</t>
        </is>
      </c>
      <c r="C165" s="9" t="n"/>
      <c r="D165" s="9" t="n"/>
      <c r="E165" s="12" t="inlineStr">
        <is>
          <t>●</t>
        </is>
      </c>
      <c r="F165" s="12" t="inlineStr">
        <is>
          <t>●</t>
        </is>
      </c>
      <c r="G165" s="12" t="inlineStr">
        <is>
          <t>●</t>
        </is>
      </c>
      <c r="H165" s="12" t="inlineStr">
        <is>
          <t>●</t>
        </is>
      </c>
      <c r="I165" s="12" t="inlineStr">
        <is>
          <t>●</t>
        </is>
      </c>
      <c r="J165" s="12" t="inlineStr">
        <is>
          <t>●</t>
        </is>
      </c>
      <c r="K165" s="12" t="inlineStr">
        <is>
          <t>●</t>
        </is>
      </c>
      <c r="L165" s="9" t="n"/>
      <c r="M165" s="9" t="n"/>
      <c r="N165" s="9" t="n"/>
      <c r="O165" s="8" t="inlineStr">
        <is>
          <t>ML (Estragon) : mars-sept.</t>
        </is>
      </c>
      <c r="P165" s="8" t="inlineStr"/>
    </row>
    <row r="166">
      <c r="A166" s="4" t="inlineStr">
        <is>
          <t>Herbe aromatique</t>
        </is>
      </c>
      <c r="B166" s="5" t="inlineStr">
        <is>
          <t>Menthe</t>
        </is>
      </c>
      <c r="C166" s="9" t="n"/>
      <c r="D166" s="9" t="n"/>
      <c r="E166" s="12" t="inlineStr">
        <is>
          <t>●</t>
        </is>
      </c>
      <c r="F166" s="12" t="inlineStr">
        <is>
          <t>●</t>
        </is>
      </c>
      <c r="G166" s="12" t="inlineStr">
        <is>
          <t>●</t>
        </is>
      </c>
      <c r="H166" s="12" t="inlineStr">
        <is>
          <t>●</t>
        </is>
      </c>
      <c r="I166" s="12" t="inlineStr">
        <is>
          <t>●</t>
        </is>
      </c>
      <c r="J166" s="12" t="inlineStr">
        <is>
          <t>●</t>
        </is>
      </c>
      <c r="K166" s="12" t="inlineStr">
        <is>
          <t>●</t>
        </is>
      </c>
      <c r="L166" s="9" t="n"/>
      <c r="M166" s="9" t="n"/>
      <c r="N166" s="9" t="n"/>
      <c r="O166" s="8" t="inlineStr">
        <is>
          <t>ML (Menthe) : mars-sept. · recherche : juin-sept.</t>
        </is>
      </c>
      <c r="P166" s="8" t="inlineStr"/>
    </row>
    <row r="167">
      <c r="A167" s="4" t="inlineStr">
        <is>
          <t>Herbe aromatique</t>
        </is>
      </c>
      <c r="B167" s="5" t="inlineStr">
        <is>
          <t>Aneth</t>
        </is>
      </c>
      <c r="C167" s="9" t="n"/>
      <c r="D167" s="9" t="n"/>
      <c r="E167" s="9" t="n"/>
      <c r="F167" s="9" t="n"/>
      <c r="G167" s="12" t="inlineStr">
        <is>
          <t>●</t>
        </is>
      </c>
      <c r="H167" s="12" t="inlineStr">
        <is>
          <t>●</t>
        </is>
      </c>
      <c r="I167" s="12" t="inlineStr">
        <is>
          <t>●</t>
        </is>
      </c>
      <c r="J167" s="12" t="inlineStr">
        <is>
          <t>●</t>
        </is>
      </c>
      <c r="K167" s="12" t="inlineStr">
        <is>
          <t>●</t>
        </is>
      </c>
      <c r="L167" s="9" t="n"/>
      <c r="M167" s="9" t="n"/>
      <c r="N167" s="9" t="n"/>
      <c r="O167" s="8" t="inlineStr">
        <is>
          <t>ML (Aneth) : mai-août · recherche : juin-sept. · sept. seul : GF</t>
        </is>
      </c>
      <c r="P167" s="8" t="inlineStr">
        <is>
          <t>ML donne mai-août</t>
        </is>
      </c>
    </row>
    <row r="168">
      <c r="A168" s="4" t="inlineStr">
        <is>
          <t>Herbe aromatique</t>
        </is>
      </c>
      <c r="B168" s="5" t="inlineStr">
        <is>
          <t>Cerfeuil</t>
        </is>
      </c>
      <c r="C168" s="9" t="n"/>
      <c r="D168" s="9" t="n"/>
      <c r="E168" s="12" t="inlineStr">
        <is>
          <t>●</t>
        </is>
      </c>
      <c r="F168" s="12" t="inlineStr">
        <is>
          <t>●</t>
        </is>
      </c>
      <c r="G168" s="9" t="n"/>
      <c r="H168" s="12" t="inlineStr">
        <is>
          <t>●</t>
        </is>
      </c>
      <c r="I168" s="12" t="inlineStr">
        <is>
          <t>●</t>
        </is>
      </c>
      <c r="J168" s="12" t="inlineStr">
        <is>
          <t>●</t>
        </is>
      </c>
      <c r="K168" s="12" t="inlineStr">
        <is>
          <t>●</t>
        </is>
      </c>
      <c r="L168" s="9" t="n"/>
      <c r="M168" s="9" t="n"/>
      <c r="N168" s="9" t="n"/>
      <c r="O168" s="8" t="inlineStr">
        <is>
          <t>ML (Cerfeuil) : mars-avr., sept. · recherche : juin-sept.</t>
        </is>
      </c>
      <c r="P168" s="8" t="inlineStr"/>
    </row>
    <row r="169">
      <c r="A169" s="4" t="inlineStr">
        <is>
          <t>Herbe aromatique</t>
        </is>
      </c>
      <c r="B169" s="5" t="inlineStr">
        <is>
          <t>Sauge</t>
        </is>
      </c>
      <c r="C169" s="9" t="n"/>
      <c r="D169" s="9" t="n"/>
      <c r="E169" s="9" t="n"/>
      <c r="F169" s="9" t="n"/>
      <c r="G169" s="12" t="inlineStr">
        <is>
          <t>●</t>
        </is>
      </c>
      <c r="H169" s="12" t="inlineStr">
        <is>
          <t>●</t>
        </is>
      </c>
      <c r="I169" s="9" t="n"/>
      <c r="J169" s="9" t="n"/>
      <c r="K169" s="12" t="inlineStr">
        <is>
          <t>●</t>
        </is>
      </c>
      <c r="L169" s="9" t="n"/>
      <c r="M169" s="9" t="n"/>
      <c r="N169" s="9" t="n"/>
      <c r="O169" s="8" t="inlineStr">
        <is>
          <t>ML (Sauge) : mai-juin, sept.</t>
        </is>
      </c>
      <c r="P169" s="8" t="inlineStr"/>
    </row>
    <row r="170">
      <c r="A170" s="4" t="inlineStr">
        <is>
          <t>Herbe aromatique</t>
        </is>
      </c>
      <c r="B170" s="5" t="inlineStr">
        <is>
          <t>Thym</t>
        </is>
      </c>
      <c r="C170" s="12" t="inlineStr">
        <is>
          <t>●</t>
        </is>
      </c>
      <c r="D170" s="12" t="inlineStr">
        <is>
          <t>●</t>
        </is>
      </c>
      <c r="E170" s="9" t="n"/>
      <c r="F170" s="9" t="n"/>
      <c r="G170" s="9" t="n"/>
      <c r="H170" s="12" t="inlineStr">
        <is>
          <t>●</t>
        </is>
      </c>
      <c r="I170" s="12" t="inlineStr">
        <is>
          <t>●</t>
        </is>
      </c>
      <c r="J170" s="12" t="inlineStr">
        <is>
          <t>●</t>
        </is>
      </c>
      <c r="K170" s="12" t="inlineStr">
        <is>
          <t>●</t>
        </is>
      </c>
      <c r="L170" s="12" t="inlineStr">
        <is>
          <t>●</t>
        </is>
      </c>
      <c r="M170" s="12" t="inlineStr">
        <is>
          <t>●</t>
        </is>
      </c>
      <c r="N170" s="12" t="inlineStr">
        <is>
          <t>●</t>
        </is>
      </c>
      <c r="O170" s="8" t="inlineStr">
        <is>
          <t>ML (Thym) : juin-fév.</t>
        </is>
      </c>
      <c r="P170" s="8" t="inlineStr"/>
    </row>
    <row r="171">
      <c r="A171" s="4" t="inlineStr">
        <is>
          <t>Herbe aromatique</t>
        </is>
      </c>
      <c r="B171" s="5" t="inlineStr">
        <is>
          <t>Romarin</t>
        </is>
      </c>
      <c r="C171" s="12" t="inlineStr">
        <is>
          <t>●</t>
        </is>
      </c>
      <c r="D171" s="12" t="inlineStr">
        <is>
          <t>●</t>
        </is>
      </c>
      <c r="E171" s="9" t="n"/>
      <c r="F171" s="9" t="n"/>
      <c r="G171" s="9" t="n"/>
      <c r="H171" s="12" t="inlineStr">
        <is>
          <t>●</t>
        </is>
      </c>
      <c r="I171" s="12" t="inlineStr">
        <is>
          <t>●</t>
        </is>
      </c>
      <c r="J171" s="12" t="inlineStr">
        <is>
          <t>●</t>
        </is>
      </c>
      <c r="K171" s="12" t="inlineStr">
        <is>
          <t>●</t>
        </is>
      </c>
      <c r="L171" s="12" t="inlineStr">
        <is>
          <t>●</t>
        </is>
      </c>
      <c r="M171" s="12" t="inlineStr">
        <is>
          <t>●</t>
        </is>
      </c>
      <c r="N171" s="12" t="inlineStr">
        <is>
          <t>●</t>
        </is>
      </c>
      <c r="O171" s="8" t="inlineStr">
        <is>
          <t>ML (Romarin) : juin-fév.</t>
        </is>
      </c>
      <c r="P171" s="8" t="inlineStr"/>
    </row>
    <row r="172">
      <c r="A172" s="4" t="inlineStr">
        <is>
          <t>Herbe aromatique</t>
        </is>
      </c>
      <c r="B172" s="5" t="inlineStr">
        <is>
          <t>Laurier</t>
        </is>
      </c>
      <c r="C172" s="12" t="inlineStr">
        <is>
          <t>●</t>
        </is>
      </c>
      <c r="D172" s="12" t="inlineStr">
        <is>
          <t>●</t>
        </is>
      </c>
      <c r="E172" s="12" t="inlineStr">
        <is>
          <t>●</t>
        </is>
      </c>
      <c r="F172" s="12" t="inlineStr">
        <is>
          <t>●</t>
        </is>
      </c>
      <c r="G172" s="12" t="inlineStr">
        <is>
          <t>●</t>
        </is>
      </c>
      <c r="H172" s="12" t="inlineStr">
        <is>
          <t>●</t>
        </is>
      </c>
      <c r="I172" s="12" t="inlineStr">
        <is>
          <t>●</t>
        </is>
      </c>
      <c r="J172" s="13" t="inlineStr">
        <is>
          <t>●</t>
        </is>
      </c>
      <c r="K172" s="13" t="inlineStr">
        <is>
          <t>●</t>
        </is>
      </c>
      <c r="L172" s="12" t="inlineStr">
        <is>
          <t>●</t>
        </is>
      </c>
      <c r="M172" s="12" t="inlineStr">
        <is>
          <t>●</t>
        </is>
      </c>
      <c r="N172" s="12" t="inlineStr">
        <is>
          <t>●</t>
        </is>
      </c>
      <c r="O172" s="8" t="inlineStr">
        <is>
          <t>FL « Laurier » : toute l'année (pleine août-sept.) · ML (Laurier) : oct.-fév.</t>
        </is>
      </c>
      <c r="P172" s="8" t="inlineStr">
        <is>
          <t>ML le donne en hiver</t>
        </is>
      </c>
    </row>
    <row r="173">
      <c r="A173" s="4" t="inlineStr">
        <is>
          <t>Herbe aromatique</t>
        </is>
      </c>
      <c r="B173" s="5" t="inlineStr">
        <is>
          <t>Origan / marjolaine</t>
        </is>
      </c>
      <c r="C173" s="9" t="n"/>
      <c r="D173" s="9" t="n"/>
      <c r="E173" s="12" t="inlineStr">
        <is>
          <t>●</t>
        </is>
      </c>
      <c r="F173" s="12" t="inlineStr">
        <is>
          <t>●</t>
        </is>
      </c>
      <c r="G173" s="12" t="inlineStr">
        <is>
          <t>●</t>
        </is>
      </c>
      <c r="H173" s="12" t="inlineStr">
        <is>
          <t>●</t>
        </is>
      </c>
      <c r="I173" s="12" t="inlineStr">
        <is>
          <t>●</t>
        </is>
      </c>
      <c r="J173" s="12" t="inlineStr">
        <is>
          <t>●</t>
        </is>
      </c>
      <c r="K173" s="9" t="n"/>
      <c r="L173" s="9" t="n"/>
      <c r="M173" s="9" t="n"/>
      <c r="N173" s="9" t="n"/>
      <c r="O173" s="8" t="inlineStr">
        <is>
          <t>ML (Origan) : mars-août</t>
        </is>
      </c>
      <c r="P173" s="8" t="inlineStr"/>
    </row>
    <row r="174">
      <c r="A174" s="4" t="inlineStr">
        <is>
          <t>Herbe aromatique</t>
        </is>
      </c>
      <c r="B174" s="5" t="inlineStr">
        <is>
          <t>Sarriette</t>
        </is>
      </c>
      <c r="C174" s="9" t="n"/>
      <c r="D174" s="9" t="n"/>
      <c r="E174" s="9" t="n"/>
      <c r="F174" s="9" t="n"/>
      <c r="G174" s="9" t="n"/>
      <c r="H174" s="12" t="inlineStr">
        <is>
          <t>●</t>
        </is>
      </c>
      <c r="I174" s="12" t="inlineStr">
        <is>
          <t>●</t>
        </is>
      </c>
      <c r="J174" s="12" t="inlineStr">
        <is>
          <t>●</t>
        </is>
      </c>
      <c r="K174" s="12" t="inlineStr">
        <is>
          <t>●</t>
        </is>
      </c>
      <c r="L174" s="9" t="n"/>
      <c r="M174" s="9" t="n"/>
      <c r="N174" s="9" t="n"/>
      <c r="O174" s="8" t="inlineStr">
        <is>
          <t>ML (Sarriette) : juin-sept.</t>
        </is>
      </c>
      <c r="P174" s="8" t="inlineStr"/>
    </row>
    <row r="175">
      <c r="A175" s="4" t="inlineStr">
        <is>
          <t>Herbe aromatique</t>
        </is>
      </c>
      <c r="B175" s="5" t="inlineStr">
        <is>
          <t>Mélisse</t>
        </is>
      </c>
      <c r="C175" s="9" t="n"/>
      <c r="D175" s="9" t="n"/>
      <c r="E175" s="9" t="n"/>
      <c r="F175" s="9" t="n"/>
      <c r="G175" s="12" t="inlineStr">
        <is>
          <t>●</t>
        </is>
      </c>
      <c r="H175" s="12" t="inlineStr">
        <is>
          <t>●</t>
        </is>
      </c>
      <c r="I175" s="12" t="inlineStr">
        <is>
          <t>●</t>
        </is>
      </c>
      <c r="J175" s="12" t="inlineStr">
        <is>
          <t>●</t>
        </is>
      </c>
      <c r="K175" s="12" t="inlineStr">
        <is>
          <t>●</t>
        </is>
      </c>
      <c r="L175" s="12" t="inlineStr">
        <is>
          <t>●</t>
        </is>
      </c>
      <c r="M175" s="12" t="inlineStr">
        <is>
          <t>●</t>
        </is>
      </c>
      <c r="N175" s="9" t="n"/>
      <c r="O175" s="8" t="inlineStr">
        <is>
          <t>ML (Mélisse) : mai-nov.</t>
        </is>
      </c>
      <c r="P175" s="8" t="inlineStr"/>
    </row>
    <row r="176">
      <c r="A176" s="4" t="inlineStr">
        <is>
          <t>Herbe aromatique</t>
        </is>
      </c>
      <c r="B176" s="5" t="inlineStr">
        <is>
          <t>Bourrache</t>
        </is>
      </c>
      <c r="C176" s="9" t="n"/>
      <c r="D176" s="9" t="n"/>
      <c r="E176" s="9" t="n"/>
      <c r="F176" s="9" t="n"/>
      <c r="G176" s="9" t="n"/>
      <c r="H176" s="9" t="n"/>
      <c r="I176" s="12" t="inlineStr">
        <is>
          <t>●</t>
        </is>
      </c>
      <c r="J176" s="12" t="inlineStr">
        <is>
          <t>●</t>
        </is>
      </c>
      <c r="K176" s="9" t="n"/>
      <c r="L176" s="9" t="n"/>
      <c r="M176" s="9" t="n"/>
      <c r="N176" s="9" t="n"/>
      <c r="O176" s="8" t="inlineStr">
        <is>
          <t>ML (Bourrache) : juil.-août</t>
        </is>
      </c>
      <c r="P176" s="8" t="inlineStr"/>
    </row>
    <row r="177">
      <c r="A177" s="4" t="inlineStr">
        <is>
          <t>Herbe aromatique</t>
        </is>
      </c>
      <c r="B177" s="5" t="inlineStr">
        <is>
          <t>Verveine citronnelle</t>
        </is>
      </c>
      <c r="C177" s="9" t="n"/>
      <c r="D177" s="9" t="n"/>
      <c r="E177" s="9" t="n"/>
      <c r="F177" s="9" t="n"/>
      <c r="G177" s="9" t="n"/>
      <c r="H177" s="12" t="inlineStr">
        <is>
          <t>●</t>
        </is>
      </c>
      <c r="I177" s="12" t="inlineStr">
        <is>
          <t>●</t>
        </is>
      </c>
      <c r="J177" s="12" t="inlineStr">
        <is>
          <t>●</t>
        </is>
      </c>
      <c r="K177" s="12" t="inlineStr">
        <is>
          <t>●</t>
        </is>
      </c>
      <c r="L177" s="9" t="n"/>
      <c r="M177" s="9" t="n"/>
      <c r="N177" s="9" t="n"/>
      <c r="O177" s="8" t="inlineStr">
        <is>
          <t>PJ (2 cueillettes : juin, puis août-sept.) : juin-sept.</t>
        </is>
      </c>
      <c r="P177" s="8" t="inlineStr">
        <is>
          <t>Aucune source consultée</t>
        </is>
      </c>
    </row>
    <row r="178">
      <c r="A178" s="4" t="inlineStr">
        <is>
          <t>Herbe aromatique</t>
        </is>
      </c>
      <c r="B178" s="5" t="inlineStr">
        <is>
          <t>Livèche</t>
        </is>
      </c>
      <c r="C178" s="9" t="n"/>
      <c r="D178" s="9" t="n"/>
      <c r="E178" s="9" t="n"/>
      <c r="F178" s="12" t="inlineStr">
        <is>
          <t>●</t>
        </is>
      </c>
      <c r="G178" s="13" t="inlineStr">
        <is>
          <t>●</t>
        </is>
      </c>
      <c r="H178" s="13" t="inlineStr">
        <is>
          <t>●</t>
        </is>
      </c>
      <c r="I178" s="12" t="inlineStr">
        <is>
          <t>●</t>
        </is>
      </c>
      <c r="J178" s="12" t="inlineStr">
        <is>
          <t>●</t>
        </is>
      </c>
      <c r="K178" s="12" t="inlineStr">
        <is>
          <t>●</t>
        </is>
      </c>
      <c r="L178" s="12" t="inlineStr">
        <is>
          <t>●</t>
        </is>
      </c>
      <c r="M178" s="9" t="n"/>
      <c r="N178" s="9" t="n"/>
      <c r="O178" s="8" t="inlineStr">
        <is>
          <t>PJ (toute la végétation ; JM : printemps-automne ; mai-juin avant floraison) : avr.-oct. (pleine mai-juin)</t>
        </is>
      </c>
      <c r="P178" s="8" t="inlineStr">
        <is>
          <t>Aucune source consultée</t>
        </is>
      </c>
    </row>
    <row r="179">
      <c r="A179" s="4" t="inlineStr">
        <is>
          <t>Herbe aromatique</t>
        </is>
      </c>
      <c r="B179" s="5" t="inlineStr">
        <is>
          <t>Ortie (jeunes pousses)</t>
        </is>
      </c>
      <c r="C179" s="9" t="n"/>
      <c r="D179" s="9" t="n"/>
      <c r="E179" s="12" t="inlineStr">
        <is>
          <t>●</t>
        </is>
      </c>
      <c r="F179" s="12" t="inlineStr">
        <is>
          <t>●</t>
        </is>
      </c>
      <c r="G179" s="12" t="inlineStr">
        <is>
          <t>●</t>
        </is>
      </c>
      <c r="H179" s="9" t="n"/>
      <c r="I179" s="9" t="n"/>
      <c r="J179" s="9" t="n"/>
      <c r="K179" s="9" t="n"/>
      <c r="L179" s="9" t="n"/>
      <c r="M179" s="9" t="n"/>
      <c r="N179" s="9" t="n"/>
      <c r="O179" s="8" t="inlineStr">
        <is>
          <t>TPM (début mars-mi-mai (régions alpines), plants &lt; 20 cm) : mars-mai</t>
        </is>
      </c>
      <c r="P179" s="8" t="inlineStr">
        <is>
          <t>Aucune source consultée</t>
        </is>
      </c>
    </row>
    <row r="180">
      <c r="A180" s="2" t="inlineStr">
        <is>
          <t>Fruit · à noyau</t>
        </is>
      </c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</row>
    <row r="181">
      <c r="A181" s="4" t="inlineStr">
        <is>
          <t>Fruit · à noyau</t>
        </is>
      </c>
      <c r="B181" s="5" t="inlineStr">
        <is>
          <t>Pêche jaune</t>
        </is>
      </c>
      <c r="C181" s="9" t="n"/>
      <c r="D181" s="9" t="n"/>
      <c r="E181" s="9" t="n"/>
      <c r="F181" s="9" t="n"/>
      <c r="G181" s="9" t="n"/>
      <c r="H181" s="14" t="inlineStr">
        <is>
          <t>●</t>
        </is>
      </c>
      <c r="I181" s="14" t="inlineStr">
        <is>
          <t>●</t>
        </is>
      </c>
      <c r="J181" s="14" t="inlineStr">
        <is>
          <t>●</t>
        </is>
      </c>
      <c r="K181" s="14" t="inlineStr">
        <is>
          <t>●</t>
        </is>
      </c>
      <c r="L181" s="9" t="n"/>
      <c r="M181" s="9" t="n"/>
      <c r="N181" s="9" t="n"/>
      <c r="O181" s="8" t="inlineStr">
        <is>
          <t>FL « Pêche » : juin-sept. (pleine juil.-août) · GP « Pêche » : juin-sept. · IF « Pêche, Nectarine » : mai-sept. (pleine juin-sept.) · BNA « pêche » : juin-sept. · sept. seul : DBB, CV, BM</t>
        </is>
      </c>
      <c r="P181" s="8" t="inlineStr"/>
    </row>
    <row r="182">
      <c r="A182" s="4" t="inlineStr">
        <is>
          <t>Fruit · à noyau</t>
        </is>
      </c>
      <c r="B182" s="5" t="inlineStr">
        <is>
          <t>Pêche blanche</t>
        </is>
      </c>
      <c r="C182" s="9" t="n"/>
      <c r="D182" s="9" t="n"/>
      <c r="E182" s="9" t="n"/>
      <c r="F182" s="9" t="n"/>
      <c r="G182" s="9" t="n"/>
      <c r="H182" s="14" t="inlineStr">
        <is>
          <t>●</t>
        </is>
      </c>
      <c r="I182" s="14" t="inlineStr">
        <is>
          <t>●</t>
        </is>
      </c>
      <c r="J182" s="14" t="inlineStr">
        <is>
          <t>●</t>
        </is>
      </c>
      <c r="K182" s="14" t="inlineStr">
        <is>
          <t>●</t>
        </is>
      </c>
      <c r="L182" s="9" t="n"/>
      <c r="M182" s="9" t="n"/>
      <c r="N182" s="9" t="n"/>
      <c r="O182" s="8">
        <f> Pêche jaune (assimilé)</f>
        <v/>
      </c>
      <c r="P182" s="8" t="inlineStr"/>
    </row>
    <row r="183">
      <c r="A183" s="4" t="inlineStr">
        <is>
          <t>Fruit · à noyau</t>
        </is>
      </c>
      <c r="B183" s="5" t="inlineStr">
        <is>
          <t>Pêche plate</t>
        </is>
      </c>
      <c r="C183" s="9" t="n"/>
      <c r="D183" s="9" t="n"/>
      <c r="E183" s="9" t="n"/>
      <c r="F183" s="9" t="n"/>
      <c r="G183" s="9" t="n"/>
      <c r="H183" s="9" t="n"/>
      <c r="I183" s="15" t="inlineStr">
        <is>
          <t>●</t>
        </is>
      </c>
      <c r="J183" s="15" t="inlineStr">
        <is>
          <t>●</t>
        </is>
      </c>
      <c r="K183" s="15" t="inlineStr">
        <is>
          <t>●</t>
        </is>
      </c>
      <c r="L183" s="9" t="n"/>
      <c r="M183" s="9" t="n"/>
      <c r="N183" s="9" t="n"/>
      <c r="O183" s="8" t="inlineStr">
        <is>
          <t>BMS : juil.-sept.</t>
        </is>
      </c>
      <c r="P183" s="8" t="inlineStr">
        <is>
          <t>Non distinguée par les sources</t>
        </is>
      </c>
    </row>
    <row r="184">
      <c r="A184" s="4" t="inlineStr">
        <is>
          <t>Fruit · à noyau</t>
        </is>
      </c>
      <c r="B184" s="5" t="inlineStr">
        <is>
          <t>Pêche de vigne</t>
        </is>
      </c>
      <c r="C184" s="9" t="n"/>
      <c r="D184" s="9" t="n"/>
      <c r="E184" s="9" t="n"/>
      <c r="F184" s="9" t="n"/>
      <c r="G184" s="9" t="n"/>
      <c r="H184" s="9" t="n"/>
      <c r="I184" s="9" t="n"/>
      <c r="J184" s="9" t="n"/>
      <c r="K184" s="14" t="inlineStr">
        <is>
          <t>●</t>
        </is>
      </c>
      <c r="L184" s="15" t="inlineStr">
        <is>
          <t>●</t>
        </is>
      </c>
      <c r="M184" s="9" t="n"/>
      <c r="N184" s="9" t="n"/>
      <c r="O184" s="8" t="inlineStr">
        <is>
          <t>IF fiche pêche, nectarine (variété tardive) : sept.-oct. (pleine sept.) · BNA « pêche de vigne » : oct. · JM (maturité sept.-oct. selon régions) : sept.-oct.</t>
        </is>
      </c>
      <c r="P184" s="8" t="inlineStr">
        <is>
          <t>BNA la donne en oct.</t>
        </is>
      </c>
    </row>
    <row r="185">
      <c r="A185" s="4" t="inlineStr">
        <is>
          <t>Fruit · à noyau</t>
        </is>
      </c>
      <c r="B185" s="5" t="inlineStr">
        <is>
          <t>Nectarine</t>
        </is>
      </c>
      <c r="C185" s="9" t="n"/>
      <c r="D185" s="9" t="n"/>
      <c r="E185" s="9" t="n"/>
      <c r="F185" s="9" t="n"/>
      <c r="G185" s="9" t="n"/>
      <c r="H185" s="14" t="inlineStr">
        <is>
          <t>●</t>
        </is>
      </c>
      <c r="I185" s="14" t="inlineStr">
        <is>
          <t>●</t>
        </is>
      </c>
      <c r="J185" s="14" t="inlineStr">
        <is>
          <t>●</t>
        </is>
      </c>
      <c r="K185" s="14" t="inlineStr">
        <is>
          <t>●</t>
        </is>
      </c>
      <c r="L185" s="9" t="n"/>
      <c r="M185" s="9" t="n"/>
      <c r="N185" s="9" t="n"/>
      <c r="O185" s="8" t="inlineStr">
        <is>
          <t>FL « Nectarine » : juin-sept. (pleine juil.-août) · IF « Pêche, Nectarine » : mai-sept. (pleine juin-sept.) · GP « Nectarine » : juil.-août · sept. seul : BM</t>
        </is>
      </c>
      <c r="P185" s="8" t="inlineStr">
        <is>
          <t>GP ne la donne qu'en juil.-août</t>
        </is>
      </c>
    </row>
    <row r="186">
      <c r="A186" s="4" t="inlineStr">
        <is>
          <t>Fruit · à noyau</t>
        </is>
      </c>
      <c r="B186" s="5" t="inlineStr">
        <is>
          <t>Brugnon</t>
        </is>
      </c>
      <c r="C186" s="9" t="n"/>
      <c r="D186" s="9" t="n"/>
      <c r="E186" s="9" t="n"/>
      <c r="F186" s="9" t="n"/>
      <c r="G186" s="9" t="n"/>
      <c r="H186" s="9" t="n"/>
      <c r="I186" s="14" t="inlineStr">
        <is>
          <t>●</t>
        </is>
      </c>
      <c r="J186" s="14" t="inlineStr">
        <is>
          <t>●</t>
        </is>
      </c>
      <c r="K186" s="14" t="inlineStr">
        <is>
          <t>●</t>
        </is>
      </c>
      <c r="L186" s="9" t="n"/>
      <c r="M186" s="9" t="n"/>
      <c r="N186" s="9" t="n"/>
      <c r="O186" s="8" t="inlineStr">
        <is>
          <t>IF fiche pêche, nectarine : juil.-sept. (pleine juil.-sept.) · GP « Brugnon » : juin-août · BNA « brugnon » : juil.</t>
        </is>
      </c>
      <c r="P186" s="8" t="inlineStr"/>
    </row>
    <row r="187">
      <c r="A187" s="4" t="inlineStr">
        <is>
          <t>Fruit · à noyau</t>
        </is>
      </c>
      <c r="B187" s="5" t="inlineStr">
        <is>
          <t>Abricot</t>
        </is>
      </c>
      <c r="C187" s="9" t="n"/>
      <c r="D187" s="9" t="n"/>
      <c r="E187" s="9" t="n"/>
      <c r="F187" s="9" t="n"/>
      <c r="G187" s="9" t="n"/>
      <c r="H187" s="14" t="inlineStr">
        <is>
          <t>●</t>
        </is>
      </c>
      <c r="I187" s="14" t="inlineStr">
        <is>
          <t>●</t>
        </is>
      </c>
      <c r="J187" s="14" t="inlineStr">
        <is>
          <t>●</t>
        </is>
      </c>
      <c r="K187" s="9" t="n"/>
      <c r="L187" s="9" t="n"/>
      <c r="M187" s="9" t="n"/>
      <c r="N187" s="9" t="n"/>
      <c r="O187" s="8" t="inlineStr">
        <is>
          <t>FL « Abricot » : juil.-août (pleine juil.) · GP « Abricot » : juin-août · IF « Abricot » : mai-août (pleine mai-août) · BNA « abricot » : juin-août</t>
        </is>
      </c>
      <c r="P187" s="8" t="inlineStr"/>
    </row>
    <row r="188">
      <c r="A188" s="4" t="inlineStr">
        <is>
          <t>Fruit · à noyau</t>
        </is>
      </c>
      <c r="B188" s="5" t="inlineStr">
        <is>
          <t>Cerise</t>
        </is>
      </c>
      <c r="C188" s="9" t="n"/>
      <c r="D188" s="9" t="n"/>
      <c r="E188" s="9" t="n"/>
      <c r="F188" s="9" t="n"/>
      <c r="G188" s="14" t="inlineStr">
        <is>
          <t>●</t>
        </is>
      </c>
      <c r="H188" s="14" t="inlineStr">
        <is>
          <t>●</t>
        </is>
      </c>
      <c r="I188" s="14" t="inlineStr">
        <is>
          <t>●</t>
        </is>
      </c>
      <c r="J188" s="9" t="n"/>
      <c r="K188" s="9" t="n"/>
      <c r="L188" s="9" t="n"/>
      <c r="M188" s="9" t="n"/>
      <c r="N188" s="9" t="n"/>
      <c r="O188" s="8" t="inlineStr">
        <is>
          <t>FL « Cerise » : juin-août (pleine juin-juil.) · GP « Cerise » : mai-juil. · IF « Cerise » : mai-juil. (pleine mai-juil.) · BNA « cerise » : mai-juil.</t>
        </is>
      </c>
      <c r="P188" s="8" t="inlineStr"/>
    </row>
    <row r="189">
      <c r="A189" s="4" t="inlineStr">
        <is>
          <t>Fruit · à noyau</t>
        </is>
      </c>
      <c r="B189" s="5" t="inlineStr">
        <is>
          <t>Reine-claude (dorée, de Bavay)</t>
        </is>
      </c>
      <c r="C189" s="9" t="n"/>
      <c r="D189" s="9" t="n"/>
      <c r="E189" s="9" t="n"/>
      <c r="F189" s="9" t="n"/>
      <c r="G189" s="9" t="n"/>
      <c r="H189" s="9" t="n"/>
      <c r="I189" s="9" t="n"/>
      <c r="J189" s="14" t="inlineStr">
        <is>
          <t>●</t>
        </is>
      </c>
      <c r="K189" s="14" t="inlineStr">
        <is>
          <t>●</t>
        </is>
      </c>
      <c r="L189" s="9" t="n"/>
      <c r="M189" s="9" t="n"/>
      <c r="N189" s="9" t="n"/>
      <c r="O189" s="8" t="inlineStr">
        <is>
          <t>FL « Reine-claude » : août-sept. (pleine août) · IF fiche prune (Bavay mi-sept.) : août-sept. (pleine août-sept.)</t>
        </is>
      </c>
      <c r="P189" s="8" t="inlineStr"/>
    </row>
    <row r="190">
      <c r="A190" s="4" t="inlineStr">
        <is>
          <t>Fruit · à noyau</t>
        </is>
      </c>
      <c r="B190" s="5" t="inlineStr">
        <is>
          <t>Mirabelle</t>
        </is>
      </c>
      <c r="C190" s="9" t="n"/>
      <c r="D190" s="9" t="n"/>
      <c r="E190" s="9" t="n"/>
      <c r="F190" s="9" t="n"/>
      <c r="G190" s="9" t="n"/>
      <c r="H190" s="9" t="n"/>
      <c r="I190" s="9" t="n"/>
      <c r="J190" s="14" t="inlineStr">
        <is>
          <t>●</t>
        </is>
      </c>
      <c r="K190" s="14" t="inlineStr">
        <is>
          <t>●</t>
        </is>
      </c>
      <c r="L190" s="9" t="n"/>
      <c r="M190" s="9" t="n"/>
      <c r="N190" s="9" t="n"/>
      <c r="O190" s="8" t="inlineStr">
        <is>
          <t>FL « Mirabelle » : août-sept. (pleine août-sept.) · GP « Mirabelle » : août-sept. · IF « Mirabelle » : août-sept. · BNA « mirabelle » : août-sept. · sept. seul : DBB, CV, BM</t>
        </is>
      </c>
      <c r="P190" s="8" t="inlineStr"/>
    </row>
    <row r="191">
      <c r="A191" s="4" t="inlineStr">
        <is>
          <t>Fruit · à noyau</t>
        </is>
      </c>
      <c r="B191" s="5" t="inlineStr">
        <is>
          <t>Quetsche</t>
        </is>
      </c>
      <c r="C191" s="9" t="n"/>
      <c r="D191" s="9" t="n"/>
      <c r="E191" s="9" t="n"/>
      <c r="F191" s="9" t="n"/>
      <c r="G191" s="9" t="n"/>
      <c r="H191" s="9" t="n"/>
      <c r="I191" s="14" t="inlineStr">
        <is>
          <t>●</t>
        </is>
      </c>
      <c r="J191" s="14" t="inlineStr">
        <is>
          <t>●</t>
        </is>
      </c>
      <c r="K191" s="14" t="inlineStr">
        <is>
          <t>●</t>
        </is>
      </c>
      <c r="L191" s="14" t="inlineStr">
        <is>
          <t>●</t>
        </is>
      </c>
      <c r="M191" s="9" t="n"/>
      <c r="N191" s="9" t="n"/>
      <c r="O191" s="8" t="inlineStr">
        <is>
          <t>FL « Quetsche » : août-oct. (pleine sept.) · IF « Prune » : juil.-oct. (pleine juil.-oct.) · sept. seul : CV</t>
        </is>
      </c>
      <c r="P191" s="8" t="inlineStr"/>
    </row>
    <row r="192">
      <c r="A192" s="4" t="inlineStr">
        <is>
          <t>Fruit · à noyau</t>
        </is>
      </c>
      <c r="B192" s="5" t="inlineStr">
        <is>
          <t>Prune d'Ente (pruneau frais)</t>
        </is>
      </c>
      <c r="C192" s="9" t="n"/>
      <c r="D192" s="9" t="n"/>
      <c r="E192" s="9" t="n"/>
      <c r="F192" s="9" t="n"/>
      <c r="G192" s="9" t="n"/>
      <c r="H192" s="9" t="n"/>
      <c r="I192" s="9" t="n"/>
      <c r="J192" s="15" t="inlineStr">
        <is>
          <t>●</t>
        </is>
      </c>
      <c r="K192" s="15" t="inlineStr">
        <is>
          <t>●</t>
        </is>
      </c>
      <c r="L192" s="9" t="n"/>
      <c r="M192" s="9" t="n"/>
      <c r="N192" s="9" t="n"/>
      <c r="O192" s="8" t="inlineStr">
        <is>
          <t>GP « Pruneau » : août-sept. · BNA « pruneau » : sept. · sept. seul : BM</t>
        </is>
      </c>
      <c r="P192" s="8" t="inlineStr"/>
    </row>
    <row r="193">
      <c r="A193" s="4" t="inlineStr">
        <is>
          <t>Fruit · à noyau</t>
        </is>
      </c>
      <c r="B193" s="5" t="inlineStr">
        <is>
          <t>Prune Président</t>
        </is>
      </c>
      <c r="C193" s="9" t="n"/>
      <c r="D193" s="9" t="n"/>
      <c r="E193" s="9" t="n"/>
      <c r="F193" s="9" t="n"/>
      <c r="G193" s="9" t="n"/>
      <c r="H193" s="9" t="n"/>
      <c r="I193" s="9" t="n"/>
      <c r="J193" s="9" t="n"/>
      <c r="K193" s="15" t="inlineStr">
        <is>
          <t>●</t>
        </is>
      </c>
      <c r="L193" s="9" t="n"/>
      <c r="M193" s="9" t="n"/>
      <c r="N193" s="9" t="n"/>
      <c r="O193" s="8" t="inlineStr">
        <is>
          <t>GRO (tardive : ~20 sept., étalée sur 15 jours) : sept.</t>
        </is>
      </c>
      <c r="P193" s="8" t="inlineStr">
        <is>
          <t>Une seule source (pépiniériste).</t>
        </is>
      </c>
    </row>
    <row r="194">
      <c r="A194" s="4" t="inlineStr">
        <is>
          <t>Fruit · à noyau</t>
        </is>
      </c>
      <c r="B194" s="5" t="inlineStr">
        <is>
          <t>Prune japonaise (Angeleno, Friar, Black Amber)</t>
        </is>
      </c>
      <c r="C194" s="9" t="n"/>
      <c r="D194" s="9" t="n"/>
      <c r="E194" s="9" t="n"/>
      <c r="F194" s="9" t="n"/>
      <c r="G194" s="9" t="n"/>
      <c r="H194" s="9" t="n"/>
      <c r="I194" s="14" t="inlineStr">
        <is>
          <t>●</t>
        </is>
      </c>
      <c r="J194" s="14" t="inlineStr">
        <is>
          <t>●</t>
        </is>
      </c>
      <c r="K194" s="14" t="inlineStr">
        <is>
          <t>●</t>
        </is>
      </c>
      <c r="L194" s="9" t="n"/>
      <c r="M194" s="9" t="n"/>
      <c r="N194" s="9" t="n"/>
      <c r="O194" s="8" t="inlineStr">
        <is>
          <t>IF fiche prune (Black Amber ~20 juil., Friar un mois plus tard, Angeleno mi-sept.) : juil.-sept. (pleine juil.-sept.)</t>
        </is>
      </c>
      <c r="P194" s="8" t="inlineStr"/>
    </row>
    <row r="195">
      <c r="A195" s="4" t="inlineStr">
        <is>
          <t>Fruit · à noyau</t>
        </is>
      </c>
      <c r="B195" s="5" t="inlineStr">
        <is>
          <t>Prune (toutes variétés)</t>
        </is>
      </c>
      <c r="C195" s="9" t="n"/>
      <c r="D195" s="9" t="n"/>
      <c r="E195" s="9" t="n"/>
      <c r="F195" s="9" t="n"/>
      <c r="G195" s="9" t="n"/>
      <c r="H195" s="15" t="inlineStr">
        <is>
          <t>●</t>
        </is>
      </c>
      <c r="I195" s="14" t="inlineStr">
        <is>
          <t>●</t>
        </is>
      </c>
      <c r="J195" s="14" t="inlineStr">
        <is>
          <t>●</t>
        </is>
      </c>
      <c r="K195" s="14" t="inlineStr">
        <is>
          <t>●</t>
        </is>
      </c>
      <c r="L195" s="14" t="inlineStr">
        <is>
          <t>●</t>
        </is>
      </c>
      <c r="M195" s="9" t="n"/>
      <c r="N195" s="9" t="n"/>
      <c r="O195" s="8" t="inlineStr">
        <is>
          <t>FL « Prune » : août-oct. (pleine août-sept.) · GP « Prune » : juin-sept. · IF « Prune » : juil.-oct. (pleine juil.-oct.) · BNA « prune » : juin-sept. · sept. seul : DBB, CV, BM</t>
        </is>
      </c>
      <c r="P195" s="8" t="inlineStr"/>
    </row>
    <row r="196">
      <c r="A196" s="4" t="inlineStr">
        <is>
          <t>Fruit · à noyau</t>
        </is>
      </c>
      <c r="B196" s="5" t="inlineStr">
        <is>
          <t>Jujube</t>
        </is>
      </c>
      <c r="C196" s="9" t="n"/>
      <c r="D196" s="9" t="n"/>
      <c r="E196" s="9" t="n"/>
      <c r="F196" s="9" t="n"/>
      <c r="G196" s="9" t="n"/>
      <c r="H196" s="9" t="n"/>
      <c r="I196" s="9" t="n"/>
      <c r="J196" s="9" t="n"/>
      <c r="K196" s="15" t="inlineStr">
        <is>
          <t>●</t>
        </is>
      </c>
      <c r="L196" s="14" t="inlineStr">
        <is>
          <t>●</t>
        </is>
      </c>
      <c r="M196" s="9" t="n"/>
      <c r="N196" s="9" t="n"/>
      <c r="O196" s="8" t="inlineStr">
        <is>
          <t>FL « Jujube » : sept.-oct. (pleine oct.)</t>
        </is>
      </c>
      <c r="P196" s="8" t="inlineStr"/>
    </row>
    <row r="197">
      <c r="A197" s="4" t="inlineStr">
        <is>
          <t>Fruit · à noyau</t>
        </is>
      </c>
      <c r="B197" s="5" t="inlineStr">
        <is>
          <t>Nèfle du Japon (bibace)</t>
        </is>
      </c>
      <c r="C197" s="9" t="n"/>
      <c r="D197" s="9" t="n"/>
      <c r="E197" s="9" t="n"/>
      <c r="F197" s="9" t="n"/>
      <c r="G197" s="15" t="inlineStr">
        <is>
          <t>●</t>
        </is>
      </c>
      <c r="H197" s="15" t="inlineStr">
        <is>
          <t>●</t>
        </is>
      </c>
      <c r="I197" s="9" t="n"/>
      <c r="J197" s="9" t="n"/>
      <c r="K197" s="9" t="n"/>
      <c r="L197" s="9" t="n"/>
      <c r="M197" s="9" t="n"/>
      <c r="N197" s="9" t="n"/>
      <c r="O197" s="8" t="inlineStr">
        <is>
          <t>JM (mai-juin selon régions) : mai-juin</t>
        </is>
      </c>
      <c r="P197" s="8" t="inlineStr">
        <is>
          <t>Printemps, non vérifié</t>
        </is>
      </c>
    </row>
    <row r="198">
      <c r="A198" s="4" t="inlineStr">
        <is>
          <t>Fruit · à noyau</t>
        </is>
      </c>
      <c r="B198" s="5" t="inlineStr">
        <is>
          <t>Olive verte fraîche (à confire)</t>
        </is>
      </c>
      <c r="C198" s="9" t="n"/>
      <c r="D198" s="9" t="n"/>
      <c r="E198" s="9" t="n"/>
      <c r="F198" s="9" t="n"/>
      <c r="G198" s="9" t="n"/>
      <c r="H198" s="9" t="n"/>
      <c r="I198" s="9" t="n"/>
      <c r="J198" s="9" t="n"/>
      <c r="K198" s="15" t="inlineStr">
        <is>
          <t>●</t>
        </is>
      </c>
      <c r="L198" s="15" t="inlineStr">
        <is>
          <t>●</t>
        </is>
      </c>
      <c r="M198" s="9" t="n"/>
      <c r="N198" s="9" t="n"/>
      <c r="O198" s="8" t="inlineStr">
        <is>
          <t>JM (récoltées vertes sept.-oct., puis saumure) : sept.-oct.</t>
        </is>
      </c>
      <c r="P198" s="8" t="inlineStr">
        <is>
          <t>Aucune source consultée</t>
        </is>
      </c>
    </row>
    <row r="199">
      <c r="A199" s="2" t="inlineStr">
        <is>
          <t>Fruit · à pépins</t>
        </is>
      </c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</row>
    <row r="200">
      <c r="A200" s="4" t="inlineStr">
        <is>
          <t>Fruit · à pépins</t>
        </is>
      </c>
      <c r="B200" s="5" t="inlineStr">
        <is>
          <t>Pomme (toutes variétés)</t>
        </is>
      </c>
      <c r="C200" s="14" t="inlineStr">
        <is>
          <t>●</t>
        </is>
      </c>
      <c r="D200" s="14" t="inlineStr">
        <is>
          <t>●</t>
        </is>
      </c>
      <c r="E200" s="14" t="inlineStr">
        <is>
          <t>●</t>
        </is>
      </c>
      <c r="F200" s="14" t="inlineStr">
        <is>
          <t>●</t>
        </is>
      </c>
      <c r="G200" s="9" t="n"/>
      <c r="H200" s="15" t="inlineStr">
        <is>
          <t>●</t>
        </is>
      </c>
      <c r="I200" s="9" t="n"/>
      <c r="J200" s="9" t="n"/>
      <c r="K200" s="15" t="inlineStr">
        <is>
          <t>●</t>
        </is>
      </c>
      <c r="L200" s="14" t="inlineStr">
        <is>
          <t>●</t>
        </is>
      </c>
      <c r="M200" s="14" t="inlineStr">
        <is>
          <t>●</t>
        </is>
      </c>
      <c r="N200" s="14" t="inlineStr">
        <is>
          <t>●</t>
        </is>
      </c>
      <c r="O200" s="8" t="inlineStr">
        <is>
          <t>FL « Pomme » : oct.-mars (pleine oct.-nov.) · GP « Pomme » : juin, août-avr. · IF « Pomme » : sept.-juin (pleine oct.-mai) · BNA « pomme » : sept.-avr. · sept. seul : DBB, CV, BM, PG</t>
        </is>
      </c>
      <c r="P200" s="8" t="inlineStr"/>
    </row>
    <row r="201">
      <c r="A201" s="4" t="inlineStr">
        <is>
          <t>Fruit · à pépins</t>
        </is>
      </c>
      <c r="B201" s="5" t="inlineStr">
        <is>
          <t>Pomme d'été précoce (Delbard Estivale, Vergheat, Akane…)</t>
        </is>
      </c>
      <c r="C201" s="9" t="n"/>
      <c r="D201" s="9" t="n"/>
      <c r="E201" s="9" t="n"/>
      <c r="F201" s="9" t="n"/>
      <c r="G201" s="9" t="n"/>
      <c r="H201" s="9" t="n"/>
      <c r="I201" s="9" t="n"/>
      <c r="J201" s="15" t="inlineStr">
        <is>
          <t>●</t>
        </is>
      </c>
      <c r="K201" s="15" t="inlineStr">
        <is>
          <t>●</t>
        </is>
      </c>
      <c r="L201" s="9" t="n"/>
      <c r="M201" s="9" t="n"/>
      <c r="N201" s="9" t="n"/>
      <c r="O201" s="8" t="inlineStr">
        <is>
          <t>FM (Vergheat) : sept. · FM (Akane) : sept.-nov. · FM (Transparente de Croncels) : juil.-août · BNA « pomme d'été » : août</t>
        </is>
      </c>
      <c r="P201" s="8" t="inlineStr"/>
    </row>
    <row r="202">
      <c r="A202" s="4" t="inlineStr">
        <is>
          <t>Fruit · à pépins</t>
        </is>
      </c>
      <c r="B202" s="5" t="inlineStr">
        <is>
          <t>Pomme Reine des reinettes</t>
        </is>
      </c>
      <c r="C202" s="9" t="n"/>
      <c r="D202" s="9" t="n"/>
      <c r="E202" s="9" t="n"/>
      <c r="F202" s="9" t="n"/>
      <c r="G202" s="9" t="n"/>
      <c r="H202" s="9" t="n"/>
      <c r="I202" s="9" t="n"/>
      <c r="J202" s="14" t="inlineStr">
        <is>
          <t>●</t>
        </is>
      </c>
      <c r="K202" s="14" t="inlineStr">
        <is>
          <t>●</t>
        </is>
      </c>
      <c r="L202" s="15" t="inlineStr">
        <is>
          <t>●</t>
        </is>
      </c>
      <c r="M202" s="15" t="inlineStr">
        <is>
          <t>●</t>
        </is>
      </c>
      <c r="N202" s="15" t="inlineStr">
        <is>
          <t>●</t>
        </is>
      </c>
      <c r="O202" s="8" t="inlineStr">
        <is>
          <t>FM (tableau sept.-déc. ; texte : « pleine saison » mi-août-sept.) : août-déc. (pleine août-sept.) · recherche (récolte fin août-sept.) : août-sept. · sept. seul : DBB</t>
        </is>
      </c>
      <c r="P202" s="8" t="inlineStr"/>
    </row>
    <row r="203">
      <c r="A203" s="4" t="inlineStr">
        <is>
          <t>Fruit · à pépins</t>
        </is>
      </c>
      <c r="B203" s="5" t="inlineStr">
        <is>
          <t>Pomme Gala / Royal Gala</t>
        </is>
      </c>
      <c r="C203" s="9" t="n"/>
      <c r="D203" s="9" t="n"/>
      <c r="E203" s="9" t="n"/>
      <c r="F203" s="9" t="n"/>
      <c r="G203" s="9" t="n"/>
      <c r="H203" s="9" t="n"/>
      <c r="I203" s="9" t="n"/>
      <c r="J203" s="15" t="inlineStr">
        <is>
          <t>●</t>
        </is>
      </c>
      <c r="K203" s="15" t="inlineStr">
        <is>
          <t>●</t>
        </is>
      </c>
      <c r="L203" s="9" t="n"/>
      <c r="M203" s="9" t="n"/>
      <c r="N203" s="9" t="n"/>
      <c r="O203" s="8" t="inlineStr">
        <is>
          <t>recherche (récolte fin août-début sept., via résumé) : août-sept. · sept. seul : DBB</t>
        </is>
      </c>
      <c r="P203" s="8" t="inlineStr"/>
    </row>
    <row r="204">
      <c r="A204" s="4" t="inlineStr">
        <is>
          <t>Fruit · à pépins</t>
        </is>
      </c>
      <c r="B204" s="5" t="inlineStr">
        <is>
          <t>Pomme Golden</t>
        </is>
      </c>
      <c r="C204" s="15" t="inlineStr">
        <is>
          <t>●</t>
        </is>
      </c>
      <c r="D204" s="15" t="inlineStr">
        <is>
          <t>●</t>
        </is>
      </c>
      <c r="E204" s="15" t="inlineStr">
        <is>
          <t>●</t>
        </is>
      </c>
      <c r="F204" s="9" t="n"/>
      <c r="G204" s="9" t="n"/>
      <c r="H204" s="9" t="n"/>
      <c r="I204" s="9" t="n"/>
      <c r="J204" s="9" t="n"/>
      <c r="K204" s="15" t="inlineStr">
        <is>
          <t>●</t>
        </is>
      </c>
      <c r="L204" s="15" t="inlineStr">
        <is>
          <t>●</t>
        </is>
      </c>
      <c r="M204" s="15" t="inlineStr">
        <is>
          <t>●</t>
        </is>
      </c>
      <c r="N204" s="15" t="inlineStr">
        <is>
          <t>●</t>
        </is>
      </c>
      <c r="O204" s="8" t="inlineStr">
        <is>
          <t>FM (Golden) : oct.-mars · sept. seul : DBB</t>
        </is>
      </c>
      <c r="P204" s="8" t="inlineStr">
        <is>
          <t>FM la donne oct.-mars</t>
        </is>
      </c>
    </row>
    <row r="205">
      <c r="A205" s="4" t="inlineStr">
        <is>
          <t>Fruit · à pépins</t>
        </is>
      </c>
      <c r="B205" s="5" t="inlineStr">
        <is>
          <t>Pomme Elstar</t>
        </is>
      </c>
      <c r="C205" s="15" t="inlineStr">
        <is>
          <t>●</t>
        </is>
      </c>
      <c r="D205" s="15" t="inlineStr">
        <is>
          <t>●</t>
        </is>
      </c>
      <c r="E205" s="15" t="inlineStr">
        <is>
          <t>●</t>
        </is>
      </c>
      <c r="F205" s="9" t="n"/>
      <c r="G205" s="9" t="n"/>
      <c r="H205" s="9" t="n"/>
      <c r="I205" s="9" t="n"/>
      <c r="J205" s="15" t="inlineStr">
        <is>
          <t>●</t>
        </is>
      </c>
      <c r="K205" s="15" t="inlineStr">
        <is>
          <t>●</t>
        </is>
      </c>
      <c r="L205" s="15" t="inlineStr">
        <is>
          <t>●</t>
        </is>
      </c>
      <c r="M205" s="15" t="inlineStr">
        <is>
          <t>●</t>
        </is>
      </c>
      <c r="N205" s="15" t="inlineStr">
        <is>
          <t>●</t>
        </is>
      </c>
      <c r="O205" s="8" t="inlineStr">
        <is>
          <t>PPF (vente août-mars) : août-mars · PJ (récolte fin août-mi-sept.) : août-sept.</t>
        </is>
      </c>
      <c r="P205" s="8" t="inlineStr">
        <is>
          <t>Vente août-mars (PPF), récolte fin août-mi-sept. (PJ) : la source FM (mi-août-sept.) est remplacée.</t>
        </is>
      </c>
    </row>
    <row r="206">
      <c r="A206" s="4" t="inlineStr">
        <is>
          <t>Fruit · à pépins</t>
        </is>
      </c>
      <c r="B206" s="5" t="inlineStr">
        <is>
          <t>Pomme Reinette grise du Canada</t>
        </is>
      </c>
      <c r="C206" s="15" t="inlineStr">
        <is>
          <t>●</t>
        </is>
      </c>
      <c r="D206" s="15" t="inlineStr">
        <is>
          <t>●</t>
        </is>
      </c>
      <c r="E206" s="15" t="inlineStr">
        <is>
          <t>●</t>
        </is>
      </c>
      <c r="F206" s="9" t="n"/>
      <c r="G206" s="9" t="n"/>
      <c r="H206" s="9" t="n"/>
      <c r="I206" s="9" t="n"/>
      <c r="J206" s="9" t="n"/>
      <c r="K206" s="9" t="n"/>
      <c r="L206" s="15" t="inlineStr">
        <is>
          <t>●</t>
        </is>
      </c>
      <c r="M206" s="15" t="inlineStr">
        <is>
          <t>●</t>
        </is>
      </c>
      <c r="N206" s="15" t="inlineStr">
        <is>
          <t>●</t>
        </is>
      </c>
      <c r="O206" s="8" t="inlineStr">
        <is>
          <t>FM (Reinette grise du Canada) : oct.-mars</t>
        </is>
      </c>
      <c r="P206" s="8" t="inlineStr"/>
    </row>
    <row r="207">
      <c r="A207" s="4" t="inlineStr">
        <is>
          <t>Fruit · à pépins</t>
        </is>
      </c>
      <c r="B207" s="5" t="inlineStr">
        <is>
          <t>Pomme Belle de Boskoop</t>
        </is>
      </c>
      <c r="C207" s="15" t="inlineStr">
        <is>
          <t>●</t>
        </is>
      </c>
      <c r="D207" s="15" t="inlineStr">
        <is>
          <t>●</t>
        </is>
      </c>
      <c r="E207" s="15" t="inlineStr">
        <is>
          <t>●</t>
        </is>
      </c>
      <c r="F207" s="9" t="n"/>
      <c r="G207" s="9" t="n"/>
      <c r="H207" s="9" t="n"/>
      <c r="I207" s="9" t="n"/>
      <c r="J207" s="9" t="n"/>
      <c r="K207" s="9" t="n"/>
      <c r="L207" s="9" t="n"/>
      <c r="M207" s="15" t="inlineStr">
        <is>
          <t>●</t>
        </is>
      </c>
      <c r="N207" s="15" t="inlineStr">
        <is>
          <t>●</t>
        </is>
      </c>
      <c r="O207" s="8" t="inlineStr">
        <is>
          <t>FM (Belle de Boskoop) : nov.-mars</t>
        </is>
      </c>
      <c r="P207" s="8" t="inlineStr">
        <is>
          <t>Récolte sept.-oct. mais vente à partir de nov.</t>
        </is>
      </c>
    </row>
    <row r="208">
      <c r="A208" s="4" t="inlineStr">
        <is>
          <t>Fruit · à pépins</t>
        </is>
      </c>
      <c r="B208" s="5" t="inlineStr">
        <is>
          <t>Pomme Chantecler</t>
        </is>
      </c>
      <c r="C208" s="15" t="inlineStr">
        <is>
          <t>●</t>
        </is>
      </c>
      <c r="D208" s="15" t="inlineStr">
        <is>
          <t>●</t>
        </is>
      </c>
      <c r="E208" s="15" t="inlineStr">
        <is>
          <t>●</t>
        </is>
      </c>
      <c r="F208" s="9" t="n"/>
      <c r="G208" s="9" t="n"/>
      <c r="H208" s="9" t="n"/>
      <c r="I208" s="9" t="n"/>
      <c r="J208" s="9" t="n"/>
      <c r="K208" s="9" t="n"/>
      <c r="L208" s="9" t="n"/>
      <c r="M208" s="15" t="inlineStr">
        <is>
          <t>●</t>
        </is>
      </c>
      <c r="N208" s="15" t="inlineStr">
        <is>
          <t>●</t>
        </is>
      </c>
      <c r="O208" s="8" t="inlineStr">
        <is>
          <t>FM (Chantecler) : nov.-mars</t>
        </is>
      </c>
      <c r="P208" s="8" t="inlineStr"/>
    </row>
    <row r="209">
      <c r="A209" s="4" t="inlineStr">
        <is>
          <t>Fruit · à pépins</t>
        </is>
      </c>
      <c r="B209" s="5" t="inlineStr">
        <is>
          <t>Pomme Granny Smith / Pink Lady / Fuji (tardives)</t>
        </is>
      </c>
      <c r="C209" s="15" t="inlineStr">
        <is>
          <t>●</t>
        </is>
      </c>
      <c r="D209" s="15" t="inlineStr">
        <is>
          <t>●</t>
        </is>
      </c>
      <c r="E209" s="15" t="inlineStr">
        <is>
          <t>●</t>
        </is>
      </c>
      <c r="F209" s="15" t="inlineStr">
        <is>
          <t>●</t>
        </is>
      </c>
      <c r="G209" s="15" t="inlineStr">
        <is>
          <t>●</t>
        </is>
      </c>
      <c r="H209" s="9" t="n"/>
      <c r="I209" s="9" t="n"/>
      <c r="J209" s="9" t="n"/>
      <c r="K209" s="9" t="n"/>
      <c r="L209" s="15" t="inlineStr">
        <is>
          <t>●</t>
        </is>
      </c>
      <c r="M209" s="15" t="inlineStr">
        <is>
          <t>●</t>
        </is>
      </c>
      <c r="N209" s="15" t="inlineStr">
        <is>
          <t>●</t>
        </is>
      </c>
      <c r="O209" s="8" t="inlineStr">
        <is>
          <t>PPF (Granny Smith : vente oct.-mai) : oct.-mai · PPF (Pink Lady : vente nov.-mai ; cueillette fin oct.-début nov. (PL)) : nov.-mai · PPF (Fuji : vente sept.-juin) : sept.-juin</t>
        </is>
      </c>
      <c r="P209" s="8" t="inlineStr">
        <is>
          <t>Récolte oct.-nov., non vérifié</t>
        </is>
      </c>
    </row>
    <row r="210">
      <c r="A210" s="4" t="inlineStr">
        <is>
          <t>Fruit · à pépins</t>
        </is>
      </c>
      <c r="B210" s="5" t="inlineStr">
        <is>
          <t>Poire (toutes variétés)</t>
        </is>
      </c>
      <c r="C210" s="14" t="inlineStr">
        <is>
          <t>●</t>
        </is>
      </c>
      <c r="D210" s="14" t="inlineStr">
        <is>
          <t>●</t>
        </is>
      </c>
      <c r="E210" s="14" t="inlineStr">
        <is>
          <t>●</t>
        </is>
      </c>
      <c r="F210" s="14" t="inlineStr">
        <is>
          <t>●</t>
        </is>
      </c>
      <c r="G210" s="9" t="n"/>
      <c r="H210" s="9" t="n"/>
      <c r="I210" s="15" t="inlineStr">
        <is>
          <t>●</t>
        </is>
      </c>
      <c r="J210" s="15" t="inlineStr">
        <is>
          <t>●</t>
        </is>
      </c>
      <c r="K210" s="14" t="inlineStr">
        <is>
          <t>●</t>
        </is>
      </c>
      <c r="L210" s="14" t="inlineStr">
        <is>
          <t>●</t>
        </is>
      </c>
      <c r="M210" s="14" t="inlineStr">
        <is>
          <t>●</t>
        </is>
      </c>
      <c r="N210" s="14" t="inlineStr">
        <is>
          <t>●</t>
        </is>
      </c>
      <c r="O210" s="8" t="inlineStr">
        <is>
          <t>FL « Poire » : août-jan. (pleine sept.-oct.) · GP « Poire » : juil.-avr. · IF « Poire » : août-mai (pleine sept.-avr.) · BNA « poire » : juil., sept.-mars · sept. seul : CV, BM, PG</t>
        </is>
      </c>
      <c r="P210" s="8" t="inlineStr"/>
    </row>
    <row r="211">
      <c r="A211" s="4" t="inlineStr">
        <is>
          <t>Fruit · à pépins</t>
        </is>
      </c>
      <c r="B211" s="5" t="inlineStr">
        <is>
          <t>Poire Williams</t>
        </is>
      </c>
      <c r="C211" s="9" t="n"/>
      <c r="D211" s="9" t="n"/>
      <c r="E211" s="9" t="n"/>
      <c r="F211" s="9" t="n"/>
      <c r="G211" s="9" t="n"/>
      <c r="H211" s="9" t="n"/>
      <c r="I211" s="15" t="inlineStr">
        <is>
          <t>●</t>
        </is>
      </c>
      <c r="J211" s="15" t="inlineStr">
        <is>
          <t>●</t>
        </is>
      </c>
      <c r="K211" s="15" t="inlineStr">
        <is>
          <t>●</t>
        </is>
      </c>
      <c r="L211" s="15" t="inlineStr">
        <is>
          <t>●</t>
        </is>
      </c>
      <c r="M211" s="15" t="inlineStr">
        <is>
          <t>●</t>
        </is>
      </c>
      <c r="N211" s="9" t="n"/>
      <c r="O211" s="8" t="inlineStr">
        <is>
          <t>PPF (vente août-nov. (Williams et Williams rouge)) : août-nov. · IF fiche poire (sur les étals dès début juil. (fin non précisée, alignée sur PPF)) : juil.-nov.</t>
        </is>
      </c>
      <c r="P211" s="8" t="inlineStr"/>
    </row>
    <row r="212">
      <c r="A212" s="4" t="inlineStr">
        <is>
          <t>Fruit · à pépins</t>
        </is>
      </c>
      <c r="B212" s="5" t="inlineStr">
        <is>
          <t>Poire Guyot</t>
        </is>
      </c>
      <c r="C212" s="9" t="n"/>
      <c r="D212" s="9" t="n"/>
      <c r="E212" s="9" t="n"/>
      <c r="F212" s="9" t="n"/>
      <c r="G212" s="9" t="n"/>
      <c r="H212" s="9" t="n"/>
      <c r="I212" s="15" t="inlineStr">
        <is>
          <t>●</t>
        </is>
      </c>
      <c r="J212" s="15" t="inlineStr">
        <is>
          <t>●</t>
        </is>
      </c>
      <c r="K212" s="9" t="n"/>
      <c r="L212" s="9" t="n"/>
      <c r="M212" s="9" t="n"/>
      <c r="N212" s="9" t="n"/>
      <c r="O212" s="8" t="inlineStr">
        <is>
          <t>IF fiche poire : juil.-août · BNA « poire guyot » : août</t>
        </is>
      </c>
      <c r="P212" s="8" t="inlineStr"/>
    </row>
    <row r="213">
      <c r="A213" s="4" t="inlineStr">
        <is>
          <t>Fruit · à pépins</t>
        </is>
      </c>
      <c r="B213" s="5" t="inlineStr">
        <is>
          <t>Poire Conférence</t>
        </is>
      </c>
      <c r="C213" s="14" t="inlineStr">
        <is>
          <t>●</t>
        </is>
      </c>
      <c r="D213" s="14" t="inlineStr">
        <is>
          <t>●</t>
        </is>
      </c>
      <c r="E213" s="14" t="inlineStr">
        <is>
          <t>●</t>
        </is>
      </c>
      <c r="F213" s="14" t="inlineStr">
        <is>
          <t>●</t>
        </is>
      </c>
      <c r="G213" s="9" t="n"/>
      <c r="H213" s="9" t="n"/>
      <c r="I213" s="9" t="n"/>
      <c r="J213" s="9" t="n"/>
      <c r="K213" s="14" t="inlineStr">
        <is>
          <t>●</t>
        </is>
      </c>
      <c r="L213" s="14" t="inlineStr">
        <is>
          <t>●</t>
        </is>
      </c>
      <c r="M213" s="14" t="inlineStr">
        <is>
          <t>●</t>
        </is>
      </c>
      <c r="N213" s="14" t="inlineStr">
        <is>
          <t>●</t>
        </is>
      </c>
      <c r="O213" s="8" t="inlineStr">
        <is>
          <t>IF fiche poire : sept.-avr. (pleine sept.-avr.)</t>
        </is>
      </c>
      <c r="P213" s="8" t="inlineStr"/>
    </row>
    <row r="214">
      <c r="A214" s="4" t="inlineStr">
        <is>
          <t>Fruit · à pépins</t>
        </is>
      </c>
      <c r="B214" s="5" t="inlineStr">
        <is>
          <t>Poire Comice</t>
        </is>
      </c>
      <c r="C214" s="9" t="n"/>
      <c r="D214" s="9" t="n"/>
      <c r="E214" s="9" t="n"/>
      <c r="F214" s="9" t="n"/>
      <c r="G214" s="9" t="n"/>
      <c r="H214" s="9" t="n"/>
      <c r="I214" s="9" t="n"/>
      <c r="J214" s="9" t="n"/>
      <c r="K214" s="14" t="inlineStr">
        <is>
          <t>●</t>
        </is>
      </c>
      <c r="L214" s="14" t="inlineStr">
        <is>
          <t>●</t>
        </is>
      </c>
      <c r="M214" s="14" t="inlineStr">
        <is>
          <t>●</t>
        </is>
      </c>
      <c r="N214" s="14" t="inlineStr">
        <is>
          <t>●</t>
        </is>
      </c>
      <c r="O214" s="8" t="inlineStr">
        <is>
          <t>IF fiche poire : sept.-déc. (pleine sept.-déc.)</t>
        </is>
      </c>
      <c r="P214" s="8" t="inlineStr">
        <is>
          <t>Récolte fin oct. selon la recherche</t>
        </is>
      </c>
    </row>
    <row r="215">
      <c r="A215" s="4" t="inlineStr">
        <is>
          <t>Fruit · à pépins</t>
        </is>
      </c>
      <c r="B215" s="5" t="inlineStr">
        <is>
          <t>Poire Beurré Hardy</t>
        </is>
      </c>
      <c r="C215" s="9" t="n"/>
      <c r="D215" s="9" t="n"/>
      <c r="E215" s="9" t="n"/>
      <c r="F215" s="9" t="n"/>
      <c r="G215" s="9" t="n"/>
      <c r="H215" s="9" t="n"/>
      <c r="I215" s="9" t="n"/>
      <c r="J215" s="9" t="n"/>
      <c r="K215" s="15" t="inlineStr">
        <is>
          <t>●</t>
        </is>
      </c>
      <c r="L215" s="15" t="inlineStr">
        <is>
          <t>●</t>
        </is>
      </c>
      <c r="M215" s="9" t="n"/>
      <c r="N215" s="9" t="n"/>
      <c r="O215" s="8" t="inlineStr">
        <is>
          <t>JM (récolte mi-sept.-oct., conservation 1-2 semaines) : sept.-oct. · DBB (poires d'automne) : sept.</t>
        </is>
      </c>
      <c r="P215" s="8" t="inlineStr"/>
    </row>
    <row r="216">
      <c r="A216" s="4" t="inlineStr">
        <is>
          <t>Fruit · à pépins</t>
        </is>
      </c>
      <c r="B216" s="5" t="inlineStr">
        <is>
          <t>Poire Louise-Bonne d'Avranches</t>
        </is>
      </c>
      <c r="C216" s="15" t="inlineStr">
        <is>
          <t>●</t>
        </is>
      </c>
      <c r="D216" s="15" t="inlineStr">
        <is>
          <t>●</t>
        </is>
      </c>
      <c r="E216" s="15" t="inlineStr">
        <is>
          <t>●</t>
        </is>
      </c>
      <c r="F216" s="9" t="n"/>
      <c r="G216" s="9" t="n"/>
      <c r="H216" s="9" t="n"/>
      <c r="I216" s="9" t="n"/>
      <c r="J216" s="9" t="n"/>
      <c r="K216" s="15" t="inlineStr">
        <is>
          <t>●</t>
        </is>
      </c>
      <c r="L216" s="15" t="inlineStr">
        <is>
          <t>●</t>
        </is>
      </c>
      <c r="M216" s="15" t="inlineStr">
        <is>
          <t>●</t>
        </is>
      </c>
      <c r="N216" s="15" t="inlineStr">
        <is>
          <t>●</t>
        </is>
      </c>
      <c r="O216" s="8" t="inlineStr">
        <is>
          <t>PPF (vente oct.-mars) : oct.-mars · WK (maturité mi-sept.-mi-oct.) : sept.-oct. · sept. seul : DBB</t>
        </is>
      </c>
      <c r="P216" s="8" t="inlineStr"/>
    </row>
    <row r="217">
      <c r="A217" s="4" t="inlineStr">
        <is>
          <t>Fruit · à pépins</t>
        </is>
      </c>
      <c r="B217" s="5" t="inlineStr">
        <is>
          <t>Poire Alexandrine Douillard</t>
        </is>
      </c>
      <c r="C217" s="9" t="n"/>
      <c r="D217" s="9" t="n"/>
      <c r="E217" s="9" t="n"/>
      <c r="F217" s="9" t="n"/>
      <c r="G217" s="9" t="n"/>
      <c r="H217" s="9" t="n"/>
      <c r="I217" s="9" t="n"/>
      <c r="J217" s="9" t="n"/>
      <c r="K217" s="15" t="inlineStr">
        <is>
          <t>●</t>
        </is>
      </c>
      <c r="L217" s="15" t="inlineStr">
        <is>
          <t>●</t>
        </is>
      </c>
      <c r="M217" s="15" t="inlineStr">
        <is>
          <t>●</t>
        </is>
      </c>
      <c r="N217" s="15" t="inlineStr">
        <is>
          <t>●</t>
        </is>
      </c>
      <c r="O217" s="8" t="inlineStr">
        <is>
          <t>WK (maturité sept.-oct., conservation 3 mois) : sept.-déc. · sept. seul : DBB</t>
        </is>
      </c>
      <c r="P217" s="8" t="inlineStr">
        <is>
          <t>Absente du tableau PPF ; Wikipédia seule.</t>
        </is>
      </c>
    </row>
    <row r="218">
      <c r="A218" s="4" t="inlineStr">
        <is>
          <t>Fruit · à pépins</t>
        </is>
      </c>
      <c r="B218" s="5" t="inlineStr">
        <is>
          <t>Poire Passe-Crassane</t>
        </is>
      </c>
      <c r="C218" s="15" t="inlineStr">
        <is>
          <t>●</t>
        </is>
      </c>
      <c r="D218" s="15" t="inlineStr">
        <is>
          <t>●</t>
        </is>
      </c>
      <c r="E218" s="15" t="inlineStr">
        <is>
          <t>●</t>
        </is>
      </c>
      <c r="F218" s="15" t="inlineStr">
        <is>
          <t>●</t>
        </is>
      </c>
      <c r="G218" s="15" t="inlineStr">
        <is>
          <t>●</t>
        </is>
      </c>
      <c r="H218" s="9" t="n"/>
      <c r="I218" s="9" t="n"/>
      <c r="J218" s="9" t="n"/>
      <c r="K218" s="9" t="n"/>
      <c r="L218" s="9" t="n"/>
      <c r="M218" s="9" t="n"/>
      <c r="N218" s="15" t="inlineStr">
        <is>
          <t>●</t>
        </is>
      </c>
      <c r="O218" s="8" t="inlineStr">
        <is>
          <t>PPF (vente déc.-mai) : déc.-mai</t>
        </is>
      </c>
      <c r="P218" s="8" t="inlineStr"/>
    </row>
    <row r="219">
      <c r="A219" s="4" t="inlineStr">
        <is>
          <t>Fruit · à pépins</t>
        </is>
      </c>
      <c r="B219" s="5" t="inlineStr">
        <is>
          <t>Poire Angélys</t>
        </is>
      </c>
      <c r="C219" s="15" t="inlineStr">
        <is>
          <t>●</t>
        </is>
      </c>
      <c r="D219" s="15" t="inlineStr">
        <is>
          <t>●</t>
        </is>
      </c>
      <c r="E219" s="15" t="inlineStr">
        <is>
          <t>●</t>
        </is>
      </c>
      <c r="F219" s="15" t="inlineStr">
        <is>
          <t>●</t>
        </is>
      </c>
      <c r="G219" s="15" t="inlineStr">
        <is>
          <t>●</t>
        </is>
      </c>
      <c r="H219" s="15" t="inlineStr">
        <is>
          <t>●</t>
        </is>
      </c>
      <c r="I219" s="9" t="n"/>
      <c r="J219" s="9" t="n"/>
      <c r="K219" s="9" t="n"/>
      <c r="L219" s="9" t="n"/>
      <c r="M219" s="15" t="inlineStr">
        <is>
          <t>●</t>
        </is>
      </c>
      <c r="N219" s="15" t="inlineStr">
        <is>
          <t>●</t>
        </is>
      </c>
      <c r="O219" s="8" t="inlineStr">
        <is>
          <t>PPF (vente nov.-avr. (« Angys »)) : nov.-avr. · WK (poire d'hiver, déc.-juin) : déc.-juin</t>
        </is>
      </c>
      <c r="P219" s="8" t="inlineStr">
        <is>
          <t>Hiver</t>
        </is>
      </c>
    </row>
    <row r="220">
      <c r="A220" s="4" t="inlineStr">
        <is>
          <t>Fruit · à pépins</t>
        </is>
      </c>
      <c r="B220" s="5" t="inlineStr">
        <is>
          <t>Poire Abate Fetel</t>
        </is>
      </c>
      <c r="C220" s="15" t="inlineStr">
        <is>
          <t>●</t>
        </is>
      </c>
      <c r="D220" s="9" t="n"/>
      <c r="E220" s="9" t="n"/>
      <c r="F220" s="9" t="n"/>
      <c r="G220" s="9" t="n"/>
      <c r="H220" s="9" t="n"/>
      <c r="I220" s="9" t="n"/>
      <c r="J220" s="9" t="n"/>
      <c r="K220" s="15" t="inlineStr">
        <is>
          <t>●</t>
        </is>
      </c>
      <c r="L220" s="15" t="inlineStr">
        <is>
          <t>●</t>
        </is>
      </c>
      <c r="M220" s="15" t="inlineStr">
        <is>
          <t>●</t>
        </is>
      </c>
      <c r="N220" s="15" t="inlineStr">
        <is>
          <t>●</t>
        </is>
      </c>
      <c r="O220" s="8" t="inlineStr">
        <is>
          <t>PJ (récolte mi-sept.-fin sept. ; conservation jusqu'en janv.) : sept.-jan.</t>
        </is>
      </c>
      <c r="P220" s="8" t="inlineStr">
        <is>
          <t>Aucune source consultée</t>
        </is>
      </c>
    </row>
    <row r="221">
      <c r="A221" s="4" t="inlineStr">
        <is>
          <t>Fruit · à pépins</t>
        </is>
      </c>
      <c r="B221" s="5" t="inlineStr">
        <is>
          <t>Nashi</t>
        </is>
      </c>
      <c r="C221" s="9" t="n"/>
      <c r="D221" s="9" t="n"/>
      <c r="E221" s="9" t="n"/>
      <c r="F221" s="9" t="n"/>
      <c r="G221" s="9" t="n"/>
      <c r="H221" s="9" t="n"/>
      <c r="I221" s="9" t="n"/>
      <c r="J221" s="15" t="inlineStr">
        <is>
          <t>●</t>
        </is>
      </c>
      <c r="K221" s="14" t="inlineStr">
        <is>
          <t>●</t>
        </is>
      </c>
      <c r="L221" s="15" t="inlineStr">
        <is>
          <t>●</t>
        </is>
      </c>
      <c r="M221" s="9" t="n"/>
      <c r="N221" s="9" t="n"/>
      <c r="O221" s="8" t="inlineStr">
        <is>
          <t>FL « Nashi » : août-oct. (pleine sept.)</t>
        </is>
      </c>
      <c r="P221" s="8" t="inlineStr"/>
    </row>
    <row r="222">
      <c r="A222" s="4" t="inlineStr">
        <is>
          <t>Fruit · à pépins</t>
        </is>
      </c>
      <c r="B222" s="5" t="inlineStr">
        <is>
          <t>Coing</t>
        </is>
      </c>
      <c r="C222" s="9" t="n"/>
      <c r="D222" s="9" t="n"/>
      <c r="E222" s="9" t="n"/>
      <c r="F222" s="9" t="n"/>
      <c r="G222" s="9" t="n"/>
      <c r="H222" s="9" t="n"/>
      <c r="I222" s="9" t="n"/>
      <c r="J222" s="9" t="n"/>
      <c r="K222" s="15" t="inlineStr">
        <is>
          <t>●</t>
        </is>
      </c>
      <c r="L222" s="14" t="inlineStr">
        <is>
          <t>●</t>
        </is>
      </c>
      <c r="M222" s="15" t="inlineStr">
        <is>
          <t>●</t>
        </is>
      </c>
      <c r="N222" s="9" t="n"/>
      <c r="O222" s="8" t="inlineStr">
        <is>
          <t>FL « Coing » : sept.-oct. (pleine oct.) · GP « Coing » : sept.-nov. · IF « Coing » : sept.-jan. (pleine oct.) · BNA « coing » : sept.-nov. · sept. seul : DBB, CV, PG</t>
        </is>
      </c>
      <c r="P222" s="8" t="inlineStr"/>
    </row>
    <row r="223">
      <c r="A223" s="2" t="inlineStr">
        <is>
          <t>Fruit · petits fruits</t>
        </is>
      </c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</row>
    <row r="224">
      <c r="A224" s="4" t="inlineStr">
        <is>
          <t>Fruit · petits fruits</t>
        </is>
      </c>
      <c r="B224" s="5" t="inlineStr">
        <is>
          <t>Fraise remontante (Charlotte, Mara des bois, Seascape…)</t>
        </is>
      </c>
      <c r="C224" s="9" t="n"/>
      <c r="D224" s="9" t="n"/>
      <c r="E224" s="9" t="n"/>
      <c r="F224" s="9" t="n"/>
      <c r="G224" s="15" t="inlineStr">
        <is>
          <t>●</t>
        </is>
      </c>
      <c r="H224" s="15" t="inlineStr">
        <is>
          <t>●</t>
        </is>
      </c>
      <c r="I224" s="15" t="inlineStr">
        <is>
          <t>●</t>
        </is>
      </c>
      <c r="J224" s="15" t="inlineStr">
        <is>
          <t>●</t>
        </is>
      </c>
      <c r="K224" s="15" t="inlineStr">
        <is>
          <t>●</t>
        </is>
      </c>
      <c r="L224" s="15" t="inlineStr">
        <is>
          <t>●</t>
        </is>
      </c>
      <c r="M224" s="9" t="n"/>
      <c r="N224" s="9" t="n"/>
      <c r="O224" s="8" t="inlineStr">
        <is>
          <t>BNA « fraise » : mai-sept. · IF fiche fraise (Charlotte mai-nov., Mara des bois mi-mai-oct.) : mai-nov. · FDF (Mara des bois juin-oct.) : juin-oct. · sept. seul : DBB</t>
        </is>
      </c>
      <c r="P224" s="8" t="inlineStr">
        <is>
          <t>FL « fraise » s'arrête en août ; Le cœur de saison IF « Fraise » (mars-juin) vaut pour les non remontantes.</t>
        </is>
      </c>
    </row>
    <row r="225">
      <c r="A225" s="4" t="inlineStr">
        <is>
          <t>Fruit · petits fruits</t>
        </is>
      </c>
      <c r="B225" s="5" t="inlineStr">
        <is>
          <t>Fraise Gariguette / Ciflorette (non remontantes)</t>
        </is>
      </c>
      <c r="C225" s="9" t="n"/>
      <c r="D225" s="9" t="n"/>
      <c r="E225" s="14" t="inlineStr">
        <is>
          <t>●</t>
        </is>
      </c>
      <c r="F225" s="14" t="inlineStr">
        <is>
          <t>●</t>
        </is>
      </c>
      <c r="G225" s="14" t="inlineStr">
        <is>
          <t>●</t>
        </is>
      </c>
      <c r="H225" s="14" t="inlineStr">
        <is>
          <t>●</t>
        </is>
      </c>
      <c r="I225" s="14" t="inlineStr">
        <is>
          <t>●</t>
        </is>
      </c>
      <c r="J225" s="15" t="inlineStr">
        <is>
          <t>●</t>
        </is>
      </c>
      <c r="K225" s="9" t="n"/>
      <c r="L225" s="9" t="n"/>
      <c r="M225" s="9" t="n"/>
      <c r="N225" s="9" t="n"/>
      <c r="O225" s="8" t="inlineStr">
        <is>
          <t>FL « Fraise » : mai-août (pleine juin-juil.) · GP « Fraise » : mai-août · IF « Fraise » : mars-juil. (pleine mars-juin)</t>
        </is>
      </c>
      <c r="P225" s="8" t="inlineStr"/>
    </row>
    <row r="226">
      <c r="A226" s="4" t="inlineStr">
        <is>
          <t>Fruit · petits fruits</t>
        </is>
      </c>
      <c r="B226" s="5" t="inlineStr">
        <is>
          <t>Fraise des bois</t>
        </is>
      </c>
      <c r="C226" s="9" t="n"/>
      <c r="D226" s="9" t="n"/>
      <c r="E226" s="9" t="n"/>
      <c r="F226" s="9" t="n"/>
      <c r="G226" s="15" t="inlineStr">
        <is>
          <t>●</t>
        </is>
      </c>
      <c r="H226" s="14" t="inlineStr">
        <is>
          <t>●</t>
        </is>
      </c>
      <c r="I226" s="14" t="inlineStr">
        <is>
          <t>●</t>
        </is>
      </c>
      <c r="J226" s="15" t="inlineStr">
        <is>
          <t>●</t>
        </is>
      </c>
      <c r="K226" s="9" t="n"/>
      <c r="L226" s="9" t="n"/>
      <c r="M226" s="9" t="n"/>
      <c r="N226" s="9" t="n"/>
      <c r="O226" s="8" t="inlineStr">
        <is>
          <t>FL « Fraise des bois » : mai-août (pleine juin-juil.)</t>
        </is>
      </c>
      <c r="P226" s="8" t="inlineStr"/>
    </row>
    <row r="227">
      <c r="A227" s="4" t="inlineStr">
        <is>
          <t>Fruit · petits fruits</t>
        </is>
      </c>
      <c r="B227" s="5" t="inlineStr">
        <is>
          <t>Framboise (remontante)</t>
        </is>
      </c>
      <c r="C227" s="9" t="n"/>
      <c r="D227" s="9" t="n"/>
      <c r="E227" s="9" t="n"/>
      <c r="F227" s="9" t="n"/>
      <c r="G227" s="9" t="n"/>
      <c r="H227" s="14" t="inlineStr">
        <is>
          <t>●</t>
        </is>
      </c>
      <c r="I227" s="14" t="inlineStr">
        <is>
          <t>●</t>
        </is>
      </c>
      <c r="J227" s="14" t="inlineStr">
        <is>
          <t>●</t>
        </is>
      </c>
      <c r="K227" s="15" t="inlineStr">
        <is>
          <t>●</t>
        </is>
      </c>
      <c r="L227" s="15" t="inlineStr">
        <is>
          <t>●</t>
        </is>
      </c>
      <c r="M227" s="9" t="n"/>
      <c r="N227" s="9" t="n"/>
      <c r="O227" s="8" t="inlineStr">
        <is>
          <t>FL « Framboise » : juin-sept. (pleine juil.-août) · IF « Framboise » : fév.-déc. (pleine avr.-août) · GP « Framboise » : juin-août, oct. · BNA « framboise » : juin-oct. · sept. seul : DBB</t>
        </is>
      </c>
      <c r="P227" s="8" t="inlineStr">
        <is>
          <t>GP la reprend en oct.</t>
        </is>
      </c>
    </row>
    <row r="228">
      <c r="A228" s="4" t="inlineStr">
        <is>
          <t>Fruit · petits fruits</t>
        </is>
      </c>
      <c r="B228" s="5" t="inlineStr">
        <is>
          <t>Mûre</t>
        </is>
      </c>
      <c r="C228" s="9" t="n"/>
      <c r="D228" s="9" t="n"/>
      <c r="E228" s="9" t="n"/>
      <c r="F228" s="9" t="n"/>
      <c r="G228" s="9" t="n"/>
      <c r="H228" s="14" t="inlineStr">
        <is>
          <t>●</t>
        </is>
      </c>
      <c r="I228" s="14" t="inlineStr">
        <is>
          <t>●</t>
        </is>
      </c>
      <c r="J228" s="14" t="inlineStr">
        <is>
          <t>●</t>
        </is>
      </c>
      <c r="K228" s="14" t="inlineStr">
        <is>
          <t>●</t>
        </is>
      </c>
      <c r="L228" s="15" t="inlineStr">
        <is>
          <t>●</t>
        </is>
      </c>
      <c r="M228" s="9" t="n"/>
      <c r="N228" s="9" t="n"/>
      <c r="O228" s="8" t="inlineStr">
        <is>
          <t>FL « Mûre » : juil.-sept. (pleine août-sept.) · GP « Mûre » : août-sept. · IF « Mûre » : fév.-déc. (pleine avr.-août) · BNA « mûre » : juin-oct. · sept. seul : DBB, CV, BM</t>
        </is>
      </c>
      <c r="P228" s="8" t="inlineStr"/>
    </row>
    <row r="229">
      <c r="A229" s="4" t="inlineStr">
        <is>
          <t>Fruit · petits fruits</t>
        </is>
      </c>
      <c r="B229" s="5" t="inlineStr">
        <is>
          <t>Myrtille</t>
        </is>
      </c>
      <c r="C229" s="9" t="n"/>
      <c r="D229" s="9" t="n"/>
      <c r="E229" s="9" t="n"/>
      <c r="F229" s="9" t="n"/>
      <c r="G229" s="9" t="n"/>
      <c r="H229" s="9" t="n"/>
      <c r="I229" s="14" t="inlineStr">
        <is>
          <t>●</t>
        </is>
      </c>
      <c r="J229" s="14" t="inlineStr">
        <is>
          <t>●</t>
        </is>
      </c>
      <c r="K229" s="15" t="inlineStr">
        <is>
          <t>●</t>
        </is>
      </c>
      <c r="L229" s="15" t="inlineStr">
        <is>
          <t>●</t>
        </is>
      </c>
      <c r="M229" s="9" t="n"/>
      <c r="N229" s="9" t="n"/>
      <c r="O229" s="8" t="inlineStr">
        <is>
          <t>FL « Myrtille » : juil.-sept. (pleine juil.-août) · GP « Myrtille » : juil.-oct. · IF « Myrtille » : fév.-déc. (pleine avr.-août) · BNA « myrtille » : juil.-oct. · sept. seul : DBB, CV, BM</t>
        </is>
      </c>
      <c r="P229" s="8" t="inlineStr"/>
    </row>
    <row r="230">
      <c r="A230" s="4" t="inlineStr">
        <is>
          <t>Fruit · petits fruits</t>
        </is>
      </c>
      <c r="B230" s="5" t="inlineStr">
        <is>
          <t>Groseille</t>
        </is>
      </c>
      <c r="C230" s="9" t="n"/>
      <c r="D230" s="9" t="n"/>
      <c r="E230" s="9" t="n"/>
      <c r="F230" s="9" t="n"/>
      <c r="G230" s="9" t="n"/>
      <c r="H230" s="14" t="inlineStr">
        <is>
          <t>●</t>
        </is>
      </c>
      <c r="I230" s="14" t="inlineStr">
        <is>
          <t>●</t>
        </is>
      </c>
      <c r="J230" s="14" t="inlineStr">
        <is>
          <t>●</t>
        </is>
      </c>
      <c r="K230" s="9" t="n"/>
      <c r="L230" s="9" t="n"/>
      <c r="M230" s="9" t="n"/>
      <c r="N230" s="9" t="n"/>
      <c r="O230" s="8" t="inlineStr">
        <is>
          <t>FL « Groseille » : juin-juil. (pleine juil.) · IF « Groseille » : fév.-déc. (pleine avr.-août) · GP « Groseille » : juin-août · BNA « groseille » : juil.</t>
        </is>
      </c>
      <c r="P230" s="8" t="inlineStr">
        <is>
          <t>FL la donne juin-juil.</t>
        </is>
      </c>
    </row>
    <row r="231">
      <c r="A231" s="4" t="inlineStr">
        <is>
          <t>Fruit · petits fruits</t>
        </is>
      </c>
      <c r="B231" s="5" t="inlineStr">
        <is>
          <t>Groseille à maquereau</t>
        </is>
      </c>
      <c r="C231" s="9" t="n"/>
      <c r="D231" s="9" t="n"/>
      <c r="E231" s="9" t="n"/>
      <c r="F231" s="9" t="n"/>
      <c r="G231" s="9" t="n"/>
      <c r="H231" s="15" t="inlineStr">
        <is>
          <t>●</t>
        </is>
      </c>
      <c r="I231" s="14" t="inlineStr">
        <is>
          <t>●</t>
        </is>
      </c>
      <c r="J231" s="15" t="inlineStr">
        <is>
          <t>●</t>
        </is>
      </c>
      <c r="K231" s="9" t="n"/>
      <c r="L231" s="9" t="n"/>
      <c r="M231" s="9" t="n"/>
      <c r="N231" s="9" t="n"/>
      <c r="O231" s="8" t="inlineStr">
        <is>
          <t>FL « Groseille à maquereau » : juin-août (pleine juil.)</t>
        </is>
      </c>
      <c r="P231" s="8" t="inlineStr"/>
    </row>
    <row r="232">
      <c r="A232" s="4" t="inlineStr">
        <is>
          <t>Fruit · petits fruits</t>
        </is>
      </c>
      <c r="B232" s="5" t="inlineStr">
        <is>
          <t>Cassis</t>
        </is>
      </c>
      <c r="C232" s="9" t="n"/>
      <c r="D232" s="9" t="n"/>
      <c r="E232" s="9" t="n"/>
      <c r="F232" s="9" t="n"/>
      <c r="G232" s="9" t="n"/>
      <c r="H232" s="15" t="inlineStr">
        <is>
          <t>●</t>
        </is>
      </c>
      <c r="I232" s="14" t="inlineStr">
        <is>
          <t>●</t>
        </is>
      </c>
      <c r="J232" s="14" t="inlineStr">
        <is>
          <t>●</t>
        </is>
      </c>
      <c r="K232" s="9" t="n"/>
      <c r="L232" s="9" t="n"/>
      <c r="M232" s="9" t="n"/>
      <c r="N232" s="9" t="n"/>
      <c r="O232" s="8" t="inlineStr">
        <is>
          <t>FL « Cassis » : juil.-août (pleine juil.-août) · IF « Cassis » : août-sept. · GP « Cassis » : juin-août · BNA « cassis » : juin-juil. · sept. seul : DBB</t>
        </is>
      </c>
      <c r="P232" s="8" t="inlineStr">
        <is>
          <t>FL le donne juin-juil.</t>
        </is>
      </c>
    </row>
    <row r="233">
      <c r="A233" s="4" t="inlineStr">
        <is>
          <t>Fruit · petits fruits</t>
        </is>
      </c>
      <c r="B233" s="5" t="inlineStr">
        <is>
          <t>Airelle rouge</t>
        </is>
      </c>
      <c r="C233" s="9" t="n"/>
      <c r="D233" s="9" t="n"/>
      <c r="E233" s="9" t="n"/>
      <c r="F233" s="9" t="n"/>
      <c r="G233" s="9" t="n"/>
      <c r="H233" s="9" t="n"/>
      <c r="I233" s="14" t="inlineStr">
        <is>
          <t>●</t>
        </is>
      </c>
      <c r="J233" s="14" t="inlineStr">
        <is>
          <t>●</t>
        </is>
      </c>
      <c r="K233" s="9" t="n"/>
      <c r="L233" s="9" t="n"/>
      <c r="M233" s="9" t="n"/>
      <c r="N233" s="9" t="n"/>
      <c r="O233" s="8" t="inlineStr">
        <is>
          <t>FL « Airelle » : juil.-août (pleine juil.-août)</t>
        </is>
      </c>
      <c r="P233" s="8" t="inlineStr"/>
    </row>
    <row r="234">
      <c r="A234" s="4" t="inlineStr">
        <is>
          <t>Fruit · petits fruits</t>
        </is>
      </c>
      <c r="B234" s="5" t="inlineStr">
        <is>
          <t>Cranberry (canneberge)</t>
        </is>
      </c>
      <c r="C234" s="15" t="inlineStr">
        <is>
          <t>●</t>
        </is>
      </c>
      <c r="D234" s="9" t="n"/>
      <c r="E234" s="9" t="n"/>
      <c r="F234" s="9" t="n"/>
      <c r="G234" s="9" t="n"/>
      <c r="H234" s="9" t="n"/>
      <c r="I234" s="9" t="n"/>
      <c r="J234" s="9" t="n"/>
      <c r="K234" s="9" t="n"/>
      <c r="L234" s="14" t="inlineStr">
        <is>
          <t>●</t>
        </is>
      </c>
      <c r="M234" s="14" t="inlineStr">
        <is>
          <t>●</t>
        </is>
      </c>
      <c r="N234" s="15" t="inlineStr">
        <is>
          <t>●</t>
        </is>
      </c>
      <c r="O234" s="8" t="inlineStr">
        <is>
          <t>FL « Cranberry » : oct.-jan. (pleine oct.-nov.)</t>
        </is>
      </c>
      <c r="P234" s="8" t="inlineStr"/>
    </row>
    <row r="235">
      <c r="A235" s="4" t="inlineStr">
        <is>
          <t>Fruit · petits fruits</t>
        </is>
      </c>
      <c r="B235" s="5" t="inlineStr">
        <is>
          <t>Sureau (baies)</t>
        </is>
      </c>
      <c r="C235" s="9" t="n"/>
      <c r="D235" s="9" t="n"/>
      <c r="E235" s="9" t="n"/>
      <c r="F235" s="9" t="n"/>
      <c r="G235" s="9" t="n"/>
      <c r="H235" s="9" t="n"/>
      <c r="I235" s="9" t="n"/>
      <c r="J235" s="15" t="inlineStr">
        <is>
          <t>●</t>
        </is>
      </c>
      <c r="K235" s="14" t="inlineStr">
        <is>
          <t>●</t>
        </is>
      </c>
      <c r="L235" s="9" t="n"/>
      <c r="M235" s="9" t="n"/>
      <c r="N235" s="9" t="n"/>
      <c r="O235" s="8" t="inlineStr">
        <is>
          <t>FL « Sureau » : août-sept. (pleine sept.)</t>
        </is>
      </c>
      <c r="P235" s="8" t="inlineStr"/>
    </row>
    <row r="236">
      <c r="A236" s="4" t="inlineStr">
        <is>
          <t>Fruit · petits fruits</t>
        </is>
      </c>
      <c r="B236" s="5" t="inlineStr">
        <is>
          <t>Argousier</t>
        </is>
      </c>
      <c r="C236" s="9" t="n"/>
      <c r="D236" s="9" t="n"/>
      <c r="E236" s="9" t="n"/>
      <c r="F236" s="9" t="n"/>
      <c r="G236" s="9" t="n"/>
      <c r="H236" s="9" t="n"/>
      <c r="I236" s="9" t="n"/>
      <c r="J236" s="15" t="inlineStr">
        <is>
          <t>●</t>
        </is>
      </c>
      <c r="K236" s="14" t="inlineStr">
        <is>
          <t>●</t>
        </is>
      </c>
      <c r="L236" s="15" t="inlineStr">
        <is>
          <t>●</t>
        </is>
      </c>
      <c r="M236" s="9" t="n"/>
      <c r="N236" s="9" t="n"/>
      <c r="O236" s="8" t="inlineStr">
        <is>
          <t>FL « Argousier » : août-oct. (pleine sept.)</t>
        </is>
      </c>
      <c r="P236" s="8" t="inlineStr"/>
    </row>
    <row r="237">
      <c r="A237" s="4" t="inlineStr">
        <is>
          <t>Fruit · petits fruits</t>
        </is>
      </c>
      <c r="B237" s="5" t="inlineStr">
        <is>
          <t>Aronia</t>
        </is>
      </c>
      <c r="C237" s="9" t="n"/>
      <c r="D237" s="9" t="n"/>
      <c r="E237" s="9" t="n"/>
      <c r="F237" s="9" t="n"/>
      <c r="G237" s="9" t="n"/>
      <c r="H237" s="9" t="n"/>
      <c r="I237" s="9" t="n"/>
      <c r="J237" s="15" t="inlineStr">
        <is>
          <t>●</t>
        </is>
      </c>
      <c r="K237" s="14" t="inlineStr">
        <is>
          <t>●</t>
        </is>
      </c>
      <c r="L237" s="15" t="inlineStr">
        <is>
          <t>●</t>
        </is>
      </c>
      <c r="M237" s="9" t="n"/>
      <c r="N237" s="9" t="n"/>
      <c r="O237" s="8" t="inlineStr">
        <is>
          <t>FL « Aronia » : août-oct. (pleine sept.)</t>
        </is>
      </c>
      <c r="P237" s="8" t="inlineStr"/>
    </row>
    <row r="238">
      <c r="A238" s="4" t="inlineStr">
        <is>
          <t>Fruit · petits fruits</t>
        </is>
      </c>
      <c r="B238" s="5" t="inlineStr">
        <is>
          <t>Cornouille</t>
        </is>
      </c>
      <c r="C238" s="9" t="n"/>
      <c r="D238" s="9" t="n"/>
      <c r="E238" s="9" t="n"/>
      <c r="F238" s="9" t="n"/>
      <c r="G238" s="9" t="n"/>
      <c r="H238" s="9" t="n"/>
      <c r="I238" s="9" t="n"/>
      <c r="J238" s="15" t="inlineStr">
        <is>
          <t>●</t>
        </is>
      </c>
      <c r="K238" s="14" t="inlineStr">
        <is>
          <t>●</t>
        </is>
      </c>
      <c r="L238" s="15" t="inlineStr">
        <is>
          <t>●</t>
        </is>
      </c>
      <c r="M238" s="9" t="n"/>
      <c r="N238" s="9" t="n"/>
      <c r="O238" s="8" t="inlineStr">
        <is>
          <t>FL « Cornouille » : août-oct. (pleine sept.)</t>
        </is>
      </c>
      <c r="P238" s="8" t="inlineStr"/>
    </row>
    <row r="239">
      <c r="A239" s="4" t="inlineStr">
        <is>
          <t>Fruit · petits fruits</t>
        </is>
      </c>
      <c r="B239" s="5" t="inlineStr">
        <is>
          <t>Baie de goji</t>
        </is>
      </c>
      <c r="C239" s="15" t="inlineStr">
        <is>
          <t>●</t>
        </is>
      </c>
      <c r="D239" s="15" t="inlineStr">
        <is>
          <t>●</t>
        </is>
      </c>
      <c r="E239" s="15" t="inlineStr">
        <is>
          <t>●</t>
        </is>
      </c>
      <c r="F239" s="15" t="inlineStr">
        <is>
          <t>●</t>
        </is>
      </c>
      <c r="G239" s="15" t="inlineStr">
        <is>
          <t>●</t>
        </is>
      </c>
      <c r="H239" s="15" t="inlineStr">
        <is>
          <t>●</t>
        </is>
      </c>
      <c r="I239" s="15" t="inlineStr">
        <is>
          <t>●</t>
        </is>
      </c>
      <c r="J239" s="15" t="inlineStr">
        <is>
          <t>●</t>
        </is>
      </c>
      <c r="K239" s="14" t="inlineStr">
        <is>
          <t>●</t>
        </is>
      </c>
      <c r="L239" s="14" t="inlineStr">
        <is>
          <t>●</t>
        </is>
      </c>
      <c r="M239" s="15" t="inlineStr">
        <is>
          <t>●</t>
        </is>
      </c>
      <c r="N239" s="15" t="inlineStr">
        <is>
          <t>●</t>
        </is>
      </c>
      <c r="O239" s="8" t="inlineStr">
        <is>
          <t>FL « Baie de goji » : toute l'année (pleine sept.-oct.) · GP « Baie de goji » : août-oct.</t>
        </is>
      </c>
      <c r="P239" s="8" t="inlineStr"/>
    </row>
    <row r="240">
      <c r="A240" s="4" t="inlineStr">
        <is>
          <t>Fruit · petits fruits</t>
        </is>
      </c>
      <c r="B240" s="5" t="inlineStr">
        <is>
          <t>Kiwaï</t>
        </is>
      </c>
      <c r="C240" s="9" t="n"/>
      <c r="D240" s="9" t="n"/>
      <c r="E240" s="9" t="n"/>
      <c r="F240" s="9" t="n"/>
      <c r="G240" s="9" t="n"/>
      <c r="H240" s="9" t="n"/>
      <c r="I240" s="9" t="n"/>
      <c r="J240" s="9" t="n"/>
      <c r="K240" s="14" t="inlineStr">
        <is>
          <t>●</t>
        </is>
      </c>
      <c r="L240" s="14" t="inlineStr">
        <is>
          <t>●</t>
        </is>
      </c>
      <c r="M240" s="9" t="n"/>
      <c r="N240" s="9" t="n"/>
      <c r="O240" s="8" t="inlineStr">
        <is>
          <t>FL « Kiwaï » : sept.-oct. (pleine sept.-oct.)</t>
        </is>
      </c>
      <c r="P240" s="8" t="inlineStr"/>
    </row>
    <row r="241">
      <c r="A241" s="4" t="inlineStr">
        <is>
          <t>Fruit · petits fruits</t>
        </is>
      </c>
      <c r="B241" s="5" t="inlineStr">
        <is>
          <t>Physalis (coqueret du Pérou)</t>
        </is>
      </c>
      <c r="C241" s="15" t="inlineStr">
        <is>
          <t>●</t>
        </is>
      </c>
      <c r="D241" s="15" t="inlineStr">
        <is>
          <t>●</t>
        </is>
      </c>
      <c r="E241" s="9" t="n"/>
      <c r="F241" s="9" t="n"/>
      <c r="G241" s="9" t="n"/>
      <c r="H241" s="9" t="n"/>
      <c r="I241" s="9" t="n"/>
      <c r="J241" s="9" t="n"/>
      <c r="K241" s="14" t="inlineStr">
        <is>
          <t>●</t>
        </is>
      </c>
      <c r="L241" s="14" t="inlineStr">
        <is>
          <t>●</t>
        </is>
      </c>
      <c r="M241" s="15" t="inlineStr">
        <is>
          <t>●</t>
        </is>
      </c>
      <c r="N241" s="15" t="inlineStr">
        <is>
          <t>●</t>
        </is>
      </c>
      <c r="O241" s="8" t="inlineStr">
        <is>
          <t>FL « Physalis » : toute l'année (pleine sept.-oct.) · GP « Physalis » : oct.-fév. · IF « Physalis » : nov.-fév.</t>
        </is>
      </c>
      <c r="P241" s="8" t="inlineStr">
        <is>
          <t>GP le donne oct.-fév.</t>
        </is>
      </c>
    </row>
    <row r="242">
      <c r="A242" s="4" t="inlineStr">
        <is>
          <t>Fruit · petits fruits</t>
        </is>
      </c>
      <c r="B242" s="5" t="inlineStr">
        <is>
          <t>Arbouse</t>
        </is>
      </c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15" t="inlineStr">
        <is>
          <t>●</t>
        </is>
      </c>
      <c r="M242" s="15" t="inlineStr">
        <is>
          <t>●</t>
        </is>
      </c>
      <c r="N242" s="15" t="inlineStr">
        <is>
          <t>●</t>
        </is>
      </c>
      <c r="O242" s="8" t="inlineStr">
        <is>
          <t>TLJ : oct.-déc. · MV (« en hiver, autour de décembre ») : déc.</t>
        </is>
      </c>
      <c r="P242" s="8" t="inlineStr">
        <is>
          <t>Aucune source consultée</t>
        </is>
      </c>
    </row>
    <row r="243">
      <c r="A243" s="2" t="inlineStr">
        <is>
          <t>Fruit · raisin &amp; figue</t>
        </is>
      </c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</row>
    <row r="244">
      <c r="A244" s="4" t="inlineStr">
        <is>
          <t>Fruit · raisin &amp; figue</t>
        </is>
      </c>
      <c r="B244" s="5" t="inlineStr">
        <is>
          <t>Raisin (toutes variétés)</t>
        </is>
      </c>
      <c r="C244" s="9" t="n"/>
      <c r="D244" s="9" t="n"/>
      <c r="E244" s="9" t="n"/>
      <c r="F244" s="9" t="n"/>
      <c r="G244" s="9" t="n"/>
      <c r="H244" s="9" t="n"/>
      <c r="I244" s="9" t="n"/>
      <c r="J244" s="14" t="inlineStr">
        <is>
          <t>●</t>
        </is>
      </c>
      <c r="K244" s="14" t="inlineStr">
        <is>
          <t>●</t>
        </is>
      </c>
      <c r="L244" s="14" t="inlineStr">
        <is>
          <t>●</t>
        </is>
      </c>
      <c r="M244" s="14" t="inlineStr">
        <is>
          <t>●</t>
        </is>
      </c>
      <c r="N244" s="9" t="n"/>
      <c r="O244" s="8" t="inlineStr">
        <is>
          <t>FL « Raisin » : sept.-oct. (pleine sept.-oct.) · GP « Raisin » : août-oct. · IF « Raisin » : août-nov. (pleine août-nov.) · BNA « raisin » : sept.-nov. · sept. seul : DBB, CV, BM, PG</t>
        </is>
      </c>
      <c r="P244" s="8" t="inlineStr"/>
    </row>
    <row r="245">
      <c r="A245" s="4" t="inlineStr">
        <is>
          <t>Fruit · raisin &amp; figue</t>
        </is>
      </c>
      <c r="B245" s="5" t="inlineStr">
        <is>
          <t>Raisin Chasselas (de Moissac AOP)</t>
        </is>
      </c>
      <c r="C245" s="9" t="n"/>
      <c r="D245" s="9" t="n"/>
      <c r="E245" s="9" t="n"/>
      <c r="F245" s="9" t="n"/>
      <c r="G245" s="9" t="n"/>
      <c r="H245" s="9" t="n"/>
      <c r="I245" s="9" t="n"/>
      <c r="J245" s="14" t="inlineStr">
        <is>
          <t>●</t>
        </is>
      </c>
      <c r="K245" s="14" t="inlineStr">
        <is>
          <t>●</t>
        </is>
      </c>
      <c r="L245" s="14" t="inlineStr">
        <is>
          <t>●</t>
        </is>
      </c>
      <c r="M245" s="15" t="inlineStr">
        <is>
          <t>●</t>
        </is>
      </c>
      <c r="N245" s="9" t="n"/>
      <c r="O245" s="8" t="inlineStr">
        <is>
          <t>IF fiche raisin (fin août-fin oct.) : août-oct. (pleine août-oct.) · LN (mi-août-nov.) : août-nov.</t>
        </is>
      </c>
      <c r="P245" s="8" t="inlineStr"/>
    </row>
    <row r="246">
      <c r="A246" s="4" t="inlineStr">
        <is>
          <t>Fruit · raisin &amp; figue</t>
        </is>
      </c>
      <c r="B246" s="5" t="inlineStr">
        <is>
          <t>Raisin Muscat de Hambourg / du Ventoux</t>
        </is>
      </c>
      <c r="C246" s="9" t="n"/>
      <c r="D246" s="9" t="n"/>
      <c r="E246" s="9" t="n"/>
      <c r="F246" s="9" t="n"/>
      <c r="G246" s="9" t="n"/>
      <c r="H246" s="9" t="n"/>
      <c r="I246" s="9" t="n"/>
      <c r="J246" s="14" t="inlineStr">
        <is>
          <t>●</t>
        </is>
      </c>
      <c r="K246" s="14" t="inlineStr">
        <is>
          <t>●</t>
        </is>
      </c>
      <c r="L246" s="14" t="inlineStr">
        <is>
          <t>●</t>
        </is>
      </c>
      <c r="M246" s="15" t="inlineStr">
        <is>
          <t>●</t>
        </is>
      </c>
      <c r="N246" s="9" t="n"/>
      <c r="O246" s="8" t="inlineStr">
        <is>
          <t>IF fiche raisin (début août-mi-oct.) : août-oct. (pleine août-oct.) · LN (fin août-début nov.) : août-nov.</t>
        </is>
      </c>
      <c r="P246" s="8" t="inlineStr"/>
    </row>
    <row r="247">
      <c r="A247" s="4" t="inlineStr">
        <is>
          <t>Fruit · raisin &amp; figue</t>
        </is>
      </c>
      <c r="B247" s="5" t="inlineStr">
        <is>
          <t>Raisin Italia</t>
        </is>
      </c>
      <c r="C247" s="9" t="n"/>
      <c r="D247" s="9" t="n"/>
      <c r="E247" s="9" t="n"/>
      <c r="F247" s="9" t="n"/>
      <c r="G247" s="9" t="n"/>
      <c r="H247" s="9" t="n"/>
      <c r="I247" s="9" t="n"/>
      <c r="J247" s="9" t="n"/>
      <c r="K247" s="15" t="inlineStr">
        <is>
          <t>●</t>
        </is>
      </c>
      <c r="L247" s="15" t="inlineStr">
        <is>
          <t>●</t>
        </is>
      </c>
      <c r="M247" s="15" t="inlineStr">
        <is>
          <t>●</t>
        </is>
      </c>
      <c r="N247" s="15" t="inlineStr">
        <is>
          <t>●</t>
        </is>
      </c>
      <c r="O247" s="8" t="inlineStr">
        <is>
          <t>LN : sept.-déc.</t>
        </is>
      </c>
      <c r="P247" s="8" t="inlineStr"/>
    </row>
    <row r="248">
      <c r="A248" s="4" t="inlineStr">
        <is>
          <t>Fruit · raisin &amp; figue</t>
        </is>
      </c>
      <c r="B248" s="5" t="inlineStr">
        <is>
          <t>Raisin Alphonse Lavallée</t>
        </is>
      </c>
      <c r="C248" s="9" t="n"/>
      <c r="D248" s="9" t="n"/>
      <c r="E248" s="9" t="n"/>
      <c r="F248" s="9" t="n"/>
      <c r="G248" s="9" t="n"/>
      <c r="H248" s="9" t="n"/>
      <c r="I248" s="9" t="n"/>
      <c r="J248" s="14" t="inlineStr">
        <is>
          <t>●</t>
        </is>
      </c>
      <c r="K248" s="14" t="inlineStr">
        <is>
          <t>●</t>
        </is>
      </c>
      <c r="L248" s="14" t="inlineStr">
        <is>
          <t>●</t>
        </is>
      </c>
      <c r="M248" s="9" t="n"/>
      <c r="N248" s="9" t="n"/>
      <c r="O248" s="8" t="inlineStr">
        <is>
          <t>IF fiche raisin (mi-août-mi-oct.) : août-oct. (pleine août-oct.) · LN (fin août-oct.) : août-oct.</t>
        </is>
      </c>
      <c r="P248" s="8" t="inlineStr"/>
    </row>
    <row r="249">
      <c r="A249" s="4" t="inlineStr">
        <is>
          <t>Fruit · raisin &amp; figue</t>
        </is>
      </c>
      <c r="B249" s="5" t="inlineStr">
        <is>
          <t>Raisin Danlas</t>
        </is>
      </c>
      <c r="C249" s="9" t="n"/>
      <c r="D249" s="9" t="n"/>
      <c r="E249" s="9" t="n"/>
      <c r="F249" s="9" t="n"/>
      <c r="G249" s="9" t="n"/>
      <c r="H249" s="9" t="n"/>
      <c r="I249" s="9" t="n"/>
      <c r="J249" s="15" t="inlineStr">
        <is>
          <t>●</t>
        </is>
      </c>
      <c r="K249" s="15" t="inlineStr">
        <is>
          <t>●</t>
        </is>
      </c>
      <c r="L249" s="9" t="n"/>
      <c r="M249" s="9" t="n"/>
      <c r="N249" s="9" t="n"/>
      <c r="O249" s="8" t="inlineStr">
        <is>
          <t>LN (mi-août-sept.) : août-sept.</t>
        </is>
      </c>
      <c r="P249" s="8" t="inlineStr"/>
    </row>
    <row r="250">
      <c r="A250" s="4" t="inlineStr">
        <is>
          <t>Fruit · raisin &amp; figue</t>
        </is>
      </c>
      <c r="B250" s="5" t="inlineStr">
        <is>
          <t>Raisin Cardinal</t>
        </is>
      </c>
      <c r="C250" s="9" t="n"/>
      <c r="D250" s="9" t="n"/>
      <c r="E250" s="9" t="n"/>
      <c r="F250" s="9" t="n"/>
      <c r="G250" s="9" t="n"/>
      <c r="H250" s="9" t="n"/>
      <c r="I250" s="15" t="inlineStr">
        <is>
          <t>●</t>
        </is>
      </c>
      <c r="J250" s="15" t="inlineStr">
        <is>
          <t>●</t>
        </is>
      </c>
      <c r="K250" s="9" t="n"/>
      <c r="L250" s="9" t="n"/>
      <c r="M250" s="9" t="n"/>
      <c r="N250" s="9" t="n"/>
      <c r="O250" s="8" t="inlineStr">
        <is>
          <t>LN (fin juil.-août) : juil.-août</t>
        </is>
      </c>
      <c r="P250" s="8" t="inlineStr"/>
    </row>
    <row r="251">
      <c r="A251" s="4" t="inlineStr">
        <is>
          <t>Fruit · raisin &amp; figue</t>
        </is>
      </c>
      <c r="B251" s="5" t="inlineStr">
        <is>
          <t>Raisin sans pépins (Centennial, Sultanine…)</t>
        </is>
      </c>
      <c r="C251" s="9" t="n"/>
      <c r="D251" s="9" t="n"/>
      <c r="E251" s="9" t="n"/>
      <c r="F251" s="9" t="n"/>
      <c r="G251" s="9" t="n"/>
      <c r="H251" s="9" t="n"/>
      <c r="I251" s="9" t="n"/>
      <c r="J251" s="14" t="inlineStr">
        <is>
          <t>●</t>
        </is>
      </c>
      <c r="K251" s="14" t="inlineStr">
        <is>
          <t>●</t>
        </is>
      </c>
      <c r="L251" s="14" t="inlineStr">
        <is>
          <t>●</t>
        </is>
      </c>
      <c r="M251" s="14" t="inlineStr">
        <is>
          <t>●</t>
        </is>
      </c>
      <c r="N251" s="9" t="n"/>
      <c r="O251" s="8" t="inlineStr">
        <is>
          <t>IF « Raisin » : août-nov. (pleine août-nov.)</t>
        </is>
      </c>
      <c r="P251" s="8" t="inlineStr"/>
    </row>
    <row r="252">
      <c r="A252" s="4" t="inlineStr">
        <is>
          <t>Fruit · raisin &amp; figue</t>
        </is>
      </c>
      <c r="B252" s="5" t="inlineStr">
        <is>
          <t>Figue (toutes variétés)</t>
        </is>
      </c>
      <c r="C252" s="9" t="n"/>
      <c r="D252" s="9" t="n"/>
      <c r="E252" s="9" t="n"/>
      <c r="F252" s="9" t="n"/>
      <c r="G252" s="9" t="n"/>
      <c r="H252" s="9" t="n"/>
      <c r="I252" s="15" t="inlineStr">
        <is>
          <t>●</t>
        </is>
      </c>
      <c r="J252" s="14" t="inlineStr">
        <is>
          <t>●</t>
        </is>
      </c>
      <c r="K252" s="14" t="inlineStr">
        <is>
          <t>●</t>
        </is>
      </c>
      <c r="L252" s="14" t="inlineStr">
        <is>
          <t>●</t>
        </is>
      </c>
      <c r="M252" s="9" t="n"/>
      <c r="N252" s="9" t="n"/>
      <c r="O252" s="8" t="inlineStr">
        <is>
          <t>FL « Figue fraîche » : août-oct. (pleine sept.) · GP « Figue » : juil.-oct. · IF « Figue » : août-oct. (pleine août-oct.) · BNA « figue » : juil.-oct. · sept. seul : DBB, CV, BM, PG</t>
        </is>
      </c>
      <c r="P252" s="8" t="inlineStr"/>
    </row>
    <row r="253">
      <c r="A253" s="4" t="inlineStr">
        <is>
          <t>Fruit · raisin &amp; figue</t>
        </is>
      </c>
      <c r="B253" s="5" t="inlineStr">
        <is>
          <t>Figue violette de Solliès (AOP)</t>
        </is>
      </c>
      <c r="C253" s="9" t="n"/>
      <c r="D253" s="9" t="n"/>
      <c r="E253" s="9" t="n"/>
      <c r="F253" s="9" t="n"/>
      <c r="G253" s="9" t="n"/>
      <c r="H253" s="9" t="n"/>
      <c r="I253" s="9" t="n"/>
      <c r="J253" s="15" t="inlineStr">
        <is>
          <t>●</t>
        </is>
      </c>
      <c r="K253" s="14" t="inlineStr">
        <is>
          <t>●</t>
        </is>
      </c>
      <c r="L253" s="14" t="inlineStr">
        <is>
          <t>●</t>
        </is>
      </c>
      <c r="M253" s="15" t="inlineStr">
        <is>
          <t>●</t>
        </is>
      </c>
      <c r="N253" s="9" t="n"/>
      <c r="O253" s="8" t="inlineStr">
        <is>
          <t>FDS (mi-août-mi-nov. ; pic de production 1er sept.-30 oct. (FreshPlaza)) : août-nov. (pleine sept.-oct.)</t>
        </is>
      </c>
      <c r="P253" s="8" t="inlineStr"/>
    </row>
    <row r="254">
      <c r="A254" s="4" t="inlineStr">
        <is>
          <t>Fruit · raisin &amp; figue</t>
        </is>
      </c>
      <c r="B254" s="5" t="inlineStr">
        <is>
          <t>Figue Dauphine / Boule d'or (bifère)</t>
        </is>
      </c>
      <c r="C254" s="9" t="n"/>
      <c r="D254" s="9" t="n"/>
      <c r="E254" s="9" t="n"/>
      <c r="F254" s="9" t="n"/>
      <c r="G254" s="9" t="n"/>
      <c r="H254" s="15" t="inlineStr">
        <is>
          <t>●</t>
        </is>
      </c>
      <c r="I254" s="15" t="inlineStr">
        <is>
          <t>●</t>
        </is>
      </c>
      <c r="J254" s="15" t="inlineStr">
        <is>
          <t>●</t>
        </is>
      </c>
      <c r="K254" s="15" t="inlineStr">
        <is>
          <t>●</t>
        </is>
      </c>
      <c r="L254" s="15" t="inlineStr">
        <is>
          <t>●</t>
        </is>
      </c>
      <c r="M254" s="9" t="n"/>
      <c r="N254" s="9" t="n"/>
      <c r="O254" s="8" t="inlineStr">
        <is>
          <t>PDB (figues-fleurs fin juin-début août, figues d'automne mi-août-mi-oct.) : juin-oct. · sept. seul : IF</t>
        </is>
      </c>
      <c r="P254" s="8" t="inlineStr"/>
    </row>
    <row r="255">
      <c r="A255" s="4" t="inlineStr">
        <is>
          <t>Fruit · raisin &amp; figue</t>
        </is>
      </c>
      <c r="B255" s="5" t="inlineStr">
        <is>
          <t>Figue noire de Caromb</t>
        </is>
      </c>
      <c r="C255" s="9" t="n"/>
      <c r="D255" s="9" t="n"/>
      <c r="E255" s="9" t="n"/>
      <c r="F255" s="9" t="n"/>
      <c r="G255" s="9" t="n"/>
      <c r="H255" s="15" t="inlineStr">
        <is>
          <t>●</t>
        </is>
      </c>
      <c r="I255" s="15" t="inlineStr">
        <is>
          <t>●</t>
        </is>
      </c>
      <c r="J255" s="15" t="inlineStr">
        <is>
          <t>●</t>
        </is>
      </c>
      <c r="K255" s="15" t="inlineStr">
        <is>
          <t>●</t>
        </is>
      </c>
      <c r="L255" s="9" t="n"/>
      <c r="M255" s="9" t="n"/>
      <c r="N255" s="9" t="n"/>
      <c r="O255" s="8" t="inlineStr">
        <is>
          <t>LAF (juin ; août-sept.) : juin, août-sept. · COC (1re récolte en juillet) : juil. · sept. seul : IF</t>
        </is>
      </c>
      <c r="P255" s="8" t="inlineStr"/>
    </row>
    <row r="256">
      <c r="A256" s="4" t="inlineStr">
        <is>
          <t>Fruit · raisin &amp; figue</t>
        </is>
      </c>
      <c r="B256" s="5" t="inlineStr">
        <is>
          <t>Figue noire de Bursa (import Turquie)</t>
        </is>
      </c>
      <c r="C256" s="9" t="n"/>
      <c r="D256" s="9" t="n"/>
      <c r="E256" s="9" t="n"/>
      <c r="F256" s="9" t="n"/>
      <c r="G256" s="9" t="n"/>
      <c r="H256" s="9" t="n"/>
      <c r="I256" s="15" t="inlineStr">
        <is>
          <t>●</t>
        </is>
      </c>
      <c r="J256" s="14" t="inlineStr">
        <is>
          <t>●</t>
        </is>
      </c>
      <c r="K256" s="14" t="inlineStr">
        <is>
          <t>●</t>
        </is>
      </c>
      <c r="L256" s="14" t="inlineStr">
        <is>
          <t>●</t>
        </is>
      </c>
      <c r="M256" s="9" t="n"/>
      <c r="N256" s="9" t="n"/>
      <c r="O256" s="8" t="inlineStr">
        <is>
          <t>IF fiche figue (mi-juil.-oct.) : juil.-oct. (pleine août-oct.)</t>
        </is>
      </c>
      <c r="P256" s="8" t="inlineStr"/>
    </row>
    <row r="257">
      <c r="A257" s="4" t="inlineStr">
        <is>
          <t>Fruit · raisin &amp; figue</t>
        </is>
      </c>
      <c r="B257" s="5" t="inlineStr">
        <is>
          <t>Figue fleur (1re récolte)</t>
        </is>
      </c>
      <c r="C257" s="9" t="n"/>
      <c r="D257" s="9" t="n"/>
      <c r="E257" s="9" t="n"/>
      <c r="F257" s="9" t="n"/>
      <c r="G257" s="9" t="n"/>
      <c r="H257" s="15" t="inlineStr">
        <is>
          <t>●</t>
        </is>
      </c>
      <c r="I257" s="15" t="inlineStr">
        <is>
          <t>●</t>
        </is>
      </c>
      <c r="J257" s="9" t="n"/>
      <c r="K257" s="9" t="n"/>
      <c r="L257" s="9" t="n"/>
      <c r="M257" s="9" t="n"/>
      <c r="N257" s="9" t="n"/>
      <c r="O257" s="8" t="inlineStr">
        <is>
          <t>LAF (juin (Marseille, Grise St-Jean, Caromb) ; juil. (Dalmatie, Longue d'Août, Dorée)) : juin-juil.</t>
        </is>
      </c>
      <c r="P257" s="8" t="inlineStr">
        <is>
          <t>Juin-juillet, non vérifié</t>
        </is>
      </c>
    </row>
    <row r="258">
      <c r="A258" s="2" t="inlineStr">
        <is>
          <t>Fruit · melon</t>
        </is>
      </c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</row>
    <row r="259">
      <c r="A259" s="4" t="inlineStr">
        <is>
          <t>Fruit · melon</t>
        </is>
      </c>
      <c r="B259" s="5" t="inlineStr">
        <is>
          <t>Melon charentais (jaune, vert)</t>
        </is>
      </c>
      <c r="C259" s="9" t="n"/>
      <c r="D259" s="9" t="n"/>
      <c r="E259" s="9" t="n"/>
      <c r="F259" s="9" t="n"/>
      <c r="G259" s="9" t="n"/>
      <c r="H259" s="14" t="inlineStr">
        <is>
          <t>●</t>
        </is>
      </c>
      <c r="I259" s="14" t="inlineStr">
        <is>
          <t>●</t>
        </is>
      </c>
      <c r="J259" s="14" t="inlineStr">
        <is>
          <t>●</t>
        </is>
      </c>
      <c r="K259" s="14" t="inlineStr">
        <is>
          <t>●</t>
        </is>
      </c>
      <c r="L259" s="9" t="n"/>
      <c r="M259" s="9" t="n"/>
      <c r="N259" s="9" t="n"/>
      <c r="O259" s="8" t="inlineStr">
        <is>
          <t>FL « Melon » : juin-sept. (pleine juil.-août) · GP « Melon » : juin-sept. · IF « Melon » : mai-sept. (pleine juin-sept.) · BNA « melon » : juin-sept. · sept. seul : DBB, CV, BM</t>
        </is>
      </c>
      <c r="P259" s="8" t="inlineStr">
        <is>
          <t>FL : derniers fruits du Sud-Ouest</t>
        </is>
      </c>
    </row>
    <row r="260">
      <c r="A260" s="4" t="inlineStr">
        <is>
          <t>Fruit · melon</t>
        </is>
      </c>
      <c r="B260" s="5" t="inlineStr">
        <is>
          <t>Melon Galia / canari / brodé / piel de sapo</t>
        </is>
      </c>
      <c r="C260" s="9" t="n"/>
      <c r="D260" s="9" t="n"/>
      <c r="E260" s="9" t="n"/>
      <c r="F260" s="9" t="n"/>
      <c r="G260" s="15" t="inlineStr">
        <is>
          <t>●</t>
        </is>
      </c>
      <c r="H260" s="14" t="inlineStr">
        <is>
          <t>●</t>
        </is>
      </c>
      <c r="I260" s="14" t="inlineStr">
        <is>
          <t>●</t>
        </is>
      </c>
      <c r="J260" s="14" t="inlineStr">
        <is>
          <t>●</t>
        </is>
      </c>
      <c r="K260" s="14" t="inlineStr">
        <is>
          <t>●</t>
        </is>
      </c>
      <c r="L260" s="9" t="n"/>
      <c r="M260" s="9" t="n"/>
      <c r="N260" s="9" t="n"/>
      <c r="O260" s="8" t="inlineStr">
        <is>
          <t>IF « Melon » : mai-sept. (pleine juin-sept.)</t>
        </is>
      </c>
      <c r="P260" s="8" t="inlineStr"/>
    </row>
    <row r="261">
      <c r="A261" s="4" t="inlineStr">
        <is>
          <t>Fruit · melon</t>
        </is>
      </c>
      <c r="B261" s="5" t="inlineStr">
        <is>
          <t>Pastèque</t>
        </is>
      </c>
      <c r="C261" s="9" t="n"/>
      <c r="D261" s="9" t="n"/>
      <c r="E261" s="9" t="n"/>
      <c r="F261" s="9" t="n"/>
      <c r="G261" s="9" t="n"/>
      <c r="H261" s="14" t="inlineStr">
        <is>
          <t>●</t>
        </is>
      </c>
      <c r="I261" s="14" t="inlineStr">
        <is>
          <t>●</t>
        </is>
      </c>
      <c r="J261" s="14" t="inlineStr">
        <is>
          <t>●</t>
        </is>
      </c>
      <c r="K261" s="15" t="inlineStr">
        <is>
          <t>●</t>
        </is>
      </c>
      <c r="L261" s="9" t="n"/>
      <c r="M261" s="9" t="n"/>
      <c r="N261" s="9" t="n"/>
      <c r="O261" s="8" t="inlineStr">
        <is>
          <t>FL « Pastèque » : juin-sept. (pleine juil.-août) · GP « Pastèque » : juin-sept. · IF « Pastèque » : mars-sept. (pleine mai-août) · BNA « pastèque » : août-sept. · sept. seul : CV, BM, PG</t>
        </is>
      </c>
      <c r="P261" s="8" t="inlineStr"/>
    </row>
    <row r="262">
      <c r="A262" s="2" t="inlineStr">
        <is>
          <t>Fruit · agrumes</t>
        </is>
      </c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</row>
    <row r="263">
      <c r="A263" s="4" t="inlineStr">
        <is>
          <t>Fruit · agrumes</t>
        </is>
      </c>
      <c r="B263" s="5" t="inlineStr">
        <is>
          <t>Citron</t>
        </is>
      </c>
      <c r="C263" s="14" t="inlineStr">
        <is>
          <t>●</t>
        </is>
      </c>
      <c r="D263" s="14" t="inlineStr">
        <is>
          <t>●</t>
        </is>
      </c>
      <c r="E263" s="14" t="inlineStr">
        <is>
          <t>●</t>
        </is>
      </c>
      <c r="F263" s="14" t="inlineStr">
        <is>
          <t>●</t>
        </is>
      </c>
      <c r="G263" s="14" t="inlineStr">
        <is>
          <t>●</t>
        </is>
      </c>
      <c r="H263" s="15" t="inlineStr">
        <is>
          <t>●</t>
        </is>
      </c>
      <c r="I263" s="15" t="inlineStr">
        <is>
          <t>●</t>
        </is>
      </c>
      <c r="J263" s="15" t="inlineStr">
        <is>
          <t>●</t>
        </is>
      </c>
      <c r="K263" s="15" t="inlineStr">
        <is>
          <t>●</t>
        </is>
      </c>
      <c r="L263" s="15" t="inlineStr">
        <is>
          <t>●</t>
        </is>
      </c>
      <c r="M263" s="15" t="inlineStr">
        <is>
          <t>●</t>
        </is>
      </c>
      <c r="N263" s="14" t="inlineStr">
        <is>
          <t>●</t>
        </is>
      </c>
      <c r="O263" s="8" t="inlineStr">
        <is>
          <t>FL « Citron » : toute l'année (pleine jan.-fév.) · GP « Citron » : juin, oct.-avr. · IF « Citron, Citron vert » : toute l'année (pleine déc.-mai) · BNA « citron » : jan.-avr.</t>
        </is>
      </c>
      <c r="P263" s="8" t="inlineStr">
        <is>
          <t>GP l'exclut en sept. (oct.-mars, juin)</t>
        </is>
      </c>
    </row>
    <row r="264">
      <c r="A264" s="4" t="inlineStr">
        <is>
          <t>Fruit · agrumes</t>
        </is>
      </c>
      <c r="B264" s="5" t="inlineStr">
        <is>
          <t>Clémentine</t>
        </is>
      </c>
      <c r="C264" s="14" t="inlineStr">
        <is>
          <t>●</t>
        </is>
      </c>
      <c r="D264" s="14" t="inlineStr">
        <is>
          <t>●</t>
        </is>
      </c>
      <c r="E264" s="14" t="inlineStr">
        <is>
          <t>●</t>
        </is>
      </c>
      <c r="F264" s="9" t="n"/>
      <c r="G264" s="9" t="n"/>
      <c r="H264" s="9" t="n"/>
      <c r="I264" s="9" t="n"/>
      <c r="J264" s="9" t="n"/>
      <c r="K264" s="9" t="n"/>
      <c r="L264" s="9" t="n"/>
      <c r="M264" s="14" t="inlineStr">
        <is>
          <t>●</t>
        </is>
      </c>
      <c r="N264" s="14" t="inlineStr">
        <is>
          <t>●</t>
        </is>
      </c>
      <c r="O264" s="8" t="inlineStr">
        <is>
          <t>FL « Clémentine » : nov.-fév. (pleine déc.-jan.) · GP « Clémentine » : nov.-fév. · IF « Clémentine, Mandarine » : oct.-avr. (pleine nov.-mars) · BNA « clémentine » : nov.-mars</t>
        </is>
      </c>
      <c r="P264" s="8" t="inlineStr"/>
    </row>
    <row r="265">
      <c r="A265" s="4" t="inlineStr">
        <is>
          <t>Fruit · agrumes</t>
        </is>
      </c>
      <c r="B265" s="5" t="inlineStr">
        <is>
          <t>Mandarine</t>
        </is>
      </c>
      <c r="C265" s="14" t="inlineStr">
        <is>
          <t>●</t>
        </is>
      </c>
      <c r="D265" s="14" t="inlineStr">
        <is>
          <t>●</t>
        </is>
      </c>
      <c r="E265" s="14" t="inlineStr">
        <is>
          <t>●</t>
        </is>
      </c>
      <c r="F265" s="9" t="n"/>
      <c r="G265" s="9" t="n"/>
      <c r="H265" s="9" t="n"/>
      <c r="I265" s="9" t="n"/>
      <c r="J265" s="9" t="n"/>
      <c r="K265" s="9" t="n"/>
      <c r="L265" s="15" t="inlineStr">
        <is>
          <t>●</t>
        </is>
      </c>
      <c r="M265" s="14" t="inlineStr">
        <is>
          <t>●</t>
        </is>
      </c>
      <c r="N265" s="14" t="inlineStr">
        <is>
          <t>●</t>
        </is>
      </c>
      <c r="O265" s="8" t="inlineStr">
        <is>
          <t>FL « Mandarine » : oct.-mars (pleine déc.-jan.) · GP « Mandarine » : nov.-fév. · IF « Clémentine, Mandarine » : oct.-avr. (pleine nov.-mars)</t>
        </is>
      </c>
      <c r="P265" s="8" t="inlineStr"/>
    </row>
    <row r="266">
      <c r="A266" s="4" t="inlineStr">
        <is>
          <t>Fruit · agrumes</t>
        </is>
      </c>
      <c r="B266" s="5" t="inlineStr">
        <is>
          <t>Orange</t>
        </is>
      </c>
      <c r="C266" s="14" t="inlineStr">
        <is>
          <t>●</t>
        </is>
      </c>
      <c r="D266" s="14" t="inlineStr">
        <is>
          <t>●</t>
        </is>
      </c>
      <c r="E266" s="14" t="inlineStr">
        <is>
          <t>●</t>
        </is>
      </c>
      <c r="F266" s="14" t="inlineStr">
        <is>
          <t>●</t>
        </is>
      </c>
      <c r="G266" s="14" t="inlineStr">
        <is>
          <t>●</t>
        </is>
      </c>
      <c r="H266" s="9" t="n"/>
      <c r="I266" s="9" t="n"/>
      <c r="J266" s="9" t="n"/>
      <c r="K266" s="9" t="n"/>
      <c r="L266" s="9" t="n"/>
      <c r="M266" s="14" t="inlineStr">
        <is>
          <t>●</t>
        </is>
      </c>
      <c r="N266" s="14" t="inlineStr">
        <is>
          <t>●</t>
        </is>
      </c>
      <c r="O266" s="8" t="inlineStr">
        <is>
          <t>FL « Orange » : nov.-fév. (pleine jan.-fév.) · GP « Orange » : nov.-mars · IF « Orange » : oct.-juin (pleine nov.-mai)</t>
        </is>
      </c>
      <c r="P266" s="8" t="inlineStr"/>
    </row>
    <row r="267">
      <c r="A267" s="4" t="inlineStr">
        <is>
          <t>Fruit · agrumes</t>
        </is>
      </c>
      <c r="B267" s="5" t="inlineStr">
        <is>
          <t>Orange sanguine</t>
        </is>
      </c>
      <c r="C267" s="15" t="inlineStr">
        <is>
          <t>●</t>
        </is>
      </c>
      <c r="D267" s="14" t="inlineStr">
        <is>
          <t>●</t>
        </is>
      </c>
      <c r="E267" s="14" t="inlineStr">
        <is>
          <t>●</t>
        </is>
      </c>
      <c r="F267" s="9" t="n"/>
      <c r="G267" s="9" t="n"/>
      <c r="H267" s="9" t="n"/>
      <c r="I267" s="9" t="n"/>
      <c r="J267" s="9" t="n"/>
      <c r="K267" s="9" t="n"/>
      <c r="L267" s="9" t="n"/>
      <c r="M267" s="9" t="n"/>
      <c r="N267" s="15" t="inlineStr">
        <is>
          <t>●</t>
        </is>
      </c>
      <c r="O267" s="8" t="inlineStr">
        <is>
          <t>FL « Orange sanguine » : déc.-mars (pleine fév.-mars)</t>
        </is>
      </c>
      <c r="P267" s="8" t="inlineStr"/>
    </row>
    <row r="268">
      <c r="A268" s="4" t="inlineStr">
        <is>
          <t>Fruit · agrumes</t>
        </is>
      </c>
      <c r="B268" s="5" t="inlineStr">
        <is>
          <t>Pamplemousse / pomelo</t>
        </is>
      </c>
      <c r="C268" s="14" t="inlineStr">
        <is>
          <t>●</t>
        </is>
      </c>
      <c r="D268" s="14" t="inlineStr">
        <is>
          <t>●</t>
        </is>
      </c>
      <c r="E268" s="14" t="inlineStr">
        <is>
          <t>●</t>
        </is>
      </c>
      <c r="F268" s="14" t="inlineStr">
        <is>
          <t>●</t>
        </is>
      </c>
      <c r="G268" s="14" t="inlineStr">
        <is>
          <t>●</t>
        </is>
      </c>
      <c r="H268" s="15" t="inlineStr">
        <is>
          <t>●</t>
        </is>
      </c>
      <c r="I268" s="9" t="n"/>
      <c r="J268" s="9" t="n"/>
      <c r="K268" s="9" t="n"/>
      <c r="L268" s="9" t="n"/>
      <c r="M268" s="9" t="n"/>
      <c r="N268" s="14" t="inlineStr">
        <is>
          <t>●</t>
        </is>
      </c>
      <c r="O268" s="8" t="inlineStr">
        <is>
          <t>FL « Pamplemousse » : déc.-mars (pleine fév.-mars) · GP « Pamplemousse » : jan.-juin · IF « Pomelo » : toute l'année (pleine nov.-mai) · BNA « pomelos » : fév.-mai</t>
        </is>
      </c>
      <c r="P268" s="8" t="inlineStr"/>
    </row>
    <row r="269">
      <c r="A269" s="4" t="inlineStr">
        <is>
          <t>Fruit · agrumes</t>
        </is>
      </c>
      <c r="B269" s="5" t="inlineStr">
        <is>
          <t>Kumquat</t>
        </is>
      </c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15" t="inlineStr">
        <is>
          <t>●</t>
        </is>
      </c>
      <c r="N269" s="14" t="inlineStr">
        <is>
          <t>●</t>
        </is>
      </c>
      <c r="O269" s="8" t="inlineStr">
        <is>
          <t>FL « Kumquat » : nov.-déc. (pleine déc.)</t>
        </is>
      </c>
      <c r="P269" s="8" t="inlineStr"/>
    </row>
    <row r="270">
      <c r="A270" s="4" t="inlineStr">
        <is>
          <t>Fruit · agrumes</t>
        </is>
      </c>
      <c r="B270" s="5" t="inlineStr">
        <is>
          <t>Cédrat</t>
        </is>
      </c>
      <c r="C270" s="9" t="n"/>
      <c r="D270" s="9" t="n"/>
      <c r="E270" s="9" t="n"/>
      <c r="F270" s="9" t="n"/>
      <c r="G270" s="9" t="n"/>
      <c r="H270" s="9" t="n"/>
      <c r="I270" s="9" t="n"/>
      <c r="J270" s="9" t="n"/>
      <c r="K270" s="15" t="inlineStr">
        <is>
          <t>●</t>
        </is>
      </c>
      <c r="L270" s="15" t="inlineStr">
        <is>
          <t>●</t>
        </is>
      </c>
      <c r="M270" s="15" t="inlineStr">
        <is>
          <t>●</t>
        </is>
      </c>
      <c r="N270" s="9" t="n"/>
      <c r="O270" s="8" t="inlineStr">
        <is>
          <t>WK (cédrat de Corse : récolte 15 oct.-15 nov.) : oct.-nov. · CAN : sept.-nov.</t>
        </is>
      </c>
      <c r="P270" s="8" t="inlineStr">
        <is>
          <t>Hiver, non vérifié</t>
        </is>
      </c>
    </row>
    <row r="271">
      <c r="A271" s="4" t="inlineStr">
        <is>
          <t>Fruit · agrumes</t>
        </is>
      </c>
      <c r="B271" s="5" t="inlineStr">
        <is>
          <t>Bergamote</t>
        </is>
      </c>
      <c r="C271" s="15" t="inlineStr">
        <is>
          <t>●</t>
        </is>
      </c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15" t="inlineStr">
        <is>
          <t>●</t>
        </is>
      </c>
      <c r="O271" s="8" t="inlineStr">
        <is>
          <t>GB (culture en France anecdotique) : déc.-jan.</t>
        </is>
      </c>
      <c r="P271" s="8" t="inlineStr">
        <is>
          <t>Hiver, non vérifié ; Culture en France anecdotique (GB).</t>
        </is>
      </c>
    </row>
    <row r="272">
      <c r="A272" s="4" t="inlineStr">
        <is>
          <t>Fruit · agrumes</t>
        </is>
      </c>
      <c r="B272" s="5" t="inlineStr">
        <is>
          <t>Yuzu</t>
        </is>
      </c>
      <c r="C272" s="9" t="n"/>
      <c r="D272" s="9" t="n"/>
      <c r="E272" s="9" t="n"/>
      <c r="F272" s="9" t="n"/>
      <c r="G272" s="9" t="n"/>
      <c r="H272" s="9" t="n"/>
      <c r="I272" s="9" t="n"/>
      <c r="J272" s="9" t="n"/>
      <c r="K272" s="15" t="inlineStr">
        <is>
          <t>●</t>
        </is>
      </c>
      <c r="L272" s="9" t="n"/>
      <c r="M272" s="15" t="inlineStr">
        <is>
          <t>●</t>
        </is>
      </c>
      <c r="N272" s="15" t="inlineStr">
        <is>
          <t>●</t>
        </is>
      </c>
      <c r="O272" s="8" t="inlineStr">
        <is>
          <t>AAA (vert en sept., jaune nov.-mi-déc. (Armagnac)) : sept., nov.-déc.</t>
        </is>
      </c>
      <c r="P272" s="8" t="inlineStr">
        <is>
          <t>Hiver, non vérifié</t>
        </is>
      </c>
    </row>
    <row r="273">
      <c r="A273" s="2" t="inlineStr">
        <is>
          <t>Fruit · à coque</t>
        </is>
      </c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</row>
    <row r="274">
      <c r="A274" s="4" t="inlineStr">
        <is>
          <t>Fruit · à coque</t>
        </is>
      </c>
      <c r="B274" s="5" t="inlineStr">
        <is>
          <t>Noix fraîche</t>
        </is>
      </c>
      <c r="C274" s="9" t="n"/>
      <c r="D274" s="9" t="n"/>
      <c r="E274" s="9" t="n"/>
      <c r="F274" s="9" t="n"/>
      <c r="G274" s="9" t="n"/>
      <c r="H274" s="9" t="n"/>
      <c r="I274" s="9" t="n"/>
      <c r="J274" s="9" t="n"/>
      <c r="K274" s="15" t="inlineStr">
        <is>
          <t>●</t>
        </is>
      </c>
      <c r="L274" s="14" t="inlineStr">
        <is>
          <t>●</t>
        </is>
      </c>
      <c r="M274" s="9" t="n"/>
      <c r="N274" s="9" t="n"/>
      <c r="O274" s="8" t="inlineStr">
        <is>
          <t>FL « Noix » : sept.-nov. (pleine oct.) · GP « Noix » : sept.-oct. · BNA « noix fraîche » : sept.-oct. · DNC (mi-sept.-oct., via résumé) : sept.-oct. · sept. seul : BM, PG</t>
        </is>
      </c>
      <c r="P274" s="8" t="inlineStr"/>
    </row>
    <row r="275">
      <c r="A275" s="4" t="inlineStr">
        <is>
          <t>Fruit · à coque</t>
        </is>
      </c>
      <c r="B275" s="5" t="inlineStr">
        <is>
          <t>Noix sèche (nouvelle récolte)</t>
        </is>
      </c>
      <c r="C275" s="15" t="inlineStr">
        <is>
          <t>●</t>
        </is>
      </c>
      <c r="D275" s="9" t="n"/>
      <c r="E275" s="9" t="n"/>
      <c r="F275" s="9" t="n"/>
      <c r="G275" s="9" t="n"/>
      <c r="H275" s="9" t="n"/>
      <c r="I275" s="9" t="n"/>
      <c r="J275" s="9" t="n"/>
      <c r="K275" s="9" t="n"/>
      <c r="L275" s="15" t="inlineStr">
        <is>
          <t>●</t>
        </is>
      </c>
      <c r="M275" s="15" t="inlineStr">
        <is>
          <t>●</t>
        </is>
      </c>
      <c r="N275" s="15" t="inlineStr">
        <is>
          <t>●</t>
        </is>
      </c>
      <c r="O275" s="8" t="inlineStr">
        <is>
          <t>IF fiche noix (en rayon début oct. ; PNA : ramassage début oct. ; TD : Grenoble ~10 j après le 26 sept.) : oct.-déc. · BNA « noix » : nov.-jan.</t>
        </is>
      </c>
      <c r="P275" s="8" t="inlineStr">
        <is>
          <t>À partir d'oct. ; Le calendrier IF « Noix » (noix sèche disponible toute l'année) n'est pas compté pour ce produit.</t>
        </is>
      </c>
    </row>
    <row r="276">
      <c r="A276" s="4" t="inlineStr">
        <is>
          <t>Fruit · à coque</t>
        </is>
      </c>
      <c r="B276" s="5" t="inlineStr">
        <is>
          <t>Noisette</t>
        </is>
      </c>
      <c r="C276" s="14" t="inlineStr">
        <is>
          <t>●</t>
        </is>
      </c>
      <c r="D276" s="9" t="n"/>
      <c r="E276" s="9" t="n"/>
      <c r="F276" s="9" t="n"/>
      <c r="G276" s="14" t="inlineStr">
        <is>
          <t>●</t>
        </is>
      </c>
      <c r="H276" s="14" t="inlineStr">
        <is>
          <t>●</t>
        </is>
      </c>
      <c r="I276" s="9" t="n"/>
      <c r="J276" s="15" t="inlineStr">
        <is>
          <t>●</t>
        </is>
      </c>
      <c r="K276" s="14" t="inlineStr">
        <is>
          <t>●</t>
        </is>
      </c>
      <c r="L276" s="14" t="inlineStr">
        <is>
          <t>●</t>
        </is>
      </c>
      <c r="M276" s="14" t="inlineStr">
        <is>
          <t>●</t>
        </is>
      </c>
      <c r="N276" s="14" t="inlineStr">
        <is>
          <t>●</t>
        </is>
      </c>
      <c r="O276" s="8" t="inlineStr">
        <is>
          <t>FL « Noisette » : août-oct. (pleine sept.-oct.) · GP « Noisette » : août-oct. · IF « Noisette » : toute l'année (pleine mai-juin, sept.-jan.) · sept. seul : PG</t>
        </is>
      </c>
      <c r="P276" s="8" t="inlineStr"/>
    </row>
    <row r="277">
      <c r="A277" s="4" t="inlineStr">
        <is>
          <t>Fruit · à coque</t>
        </is>
      </c>
      <c r="B277" s="5" t="inlineStr">
        <is>
          <t>Amande fraîche</t>
        </is>
      </c>
      <c r="C277" s="9" t="n"/>
      <c r="D277" s="9" t="n"/>
      <c r="E277" s="9" t="n"/>
      <c r="F277" s="9" t="n"/>
      <c r="G277" s="9" t="n"/>
      <c r="H277" s="9" t="n"/>
      <c r="I277" s="15" t="inlineStr">
        <is>
          <t>●</t>
        </is>
      </c>
      <c r="J277" s="15" t="inlineStr">
        <is>
          <t>●</t>
        </is>
      </c>
      <c r="K277" s="9" t="n"/>
      <c r="L277" s="9" t="n"/>
      <c r="M277" s="9" t="n"/>
      <c r="N277" s="9" t="n"/>
      <c r="O277" s="8" t="inlineStr">
        <is>
          <t>GP « Amande fraiche » : juil.-août</t>
        </is>
      </c>
      <c r="P277" s="8" t="inlineStr"/>
    </row>
    <row r="278">
      <c r="A278" s="4" t="inlineStr">
        <is>
          <t>Fruit · à coque</t>
        </is>
      </c>
      <c r="B278" s="5" t="inlineStr">
        <is>
          <t>Amande sèche (nouvelle récolte)</t>
        </is>
      </c>
      <c r="C278" s="9" t="n"/>
      <c r="D278" s="9" t="n"/>
      <c r="E278" s="9" t="n"/>
      <c r="F278" s="9" t="n"/>
      <c r="G278" s="9" t="n"/>
      <c r="H278" s="9" t="n"/>
      <c r="I278" s="9" t="n"/>
      <c r="J278" s="15" t="inlineStr">
        <is>
          <t>●</t>
        </is>
      </c>
      <c r="K278" s="14" t="inlineStr">
        <is>
          <t>●</t>
        </is>
      </c>
      <c r="L278" s="15" t="inlineStr">
        <is>
          <t>●</t>
        </is>
      </c>
      <c r="M278" s="9" t="n"/>
      <c r="N278" s="9" t="n"/>
      <c r="O278" s="8" t="inlineStr">
        <is>
          <t>FL « Amande » : août-sept. (pleine sept.) · GP « Amande sèche » : toute l'année · IF « Amande » : sept.-oct.</t>
        </is>
      </c>
      <c r="P278" s="8" t="inlineStr"/>
    </row>
    <row r="279">
      <c r="A279" s="4" t="inlineStr">
        <is>
          <t>Fruit · à coque</t>
        </is>
      </c>
      <c r="B279" s="5" t="inlineStr">
        <is>
          <t>Châtaigne</t>
        </is>
      </c>
      <c r="C279" s="9" t="n"/>
      <c r="D279" s="9" t="n"/>
      <c r="E279" s="9" t="n"/>
      <c r="F279" s="9" t="n"/>
      <c r="G279" s="9" t="n"/>
      <c r="H279" s="9" t="n"/>
      <c r="I279" s="9" t="n"/>
      <c r="J279" s="9" t="n"/>
      <c r="K279" s="15" t="inlineStr">
        <is>
          <t>●</t>
        </is>
      </c>
      <c r="L279" s="14" t="inlineStr">
        <is>
          <t>●</t>
        </is>
      </c>
      <c r="M279" s="14" t="inlineStr">
        <is>
          <t>●</t>
        </is>
      </c>
      <c r="N279" s="14" t="inlineStr">
        <is>
          <t>●</t>
        </is>
      </c>
      <c r="O279" s="8" t="inlineStr">
        <is>
          <t>FL « Châtaigne » : sept.-déc. (pleine oct.-nov.) · GP « Châtaigne » : oct.-déc. · IF « Châtaigne » : oct.-fév. (pleine oct.-déc.) · BNA « châtaigne » : oct.-déc. · sept. seul : CV, PG</t>
        </is>
      </c>
      <c r="P279" s="8" t="inlineStr">
        <is>
          <t>GP la donne oct.-déc.</t>
        </is>
      </c>
    </row>
    <row r="280">
      <c r="A280" s="4" t="inlineStr">
        <is>
          <t>Fruit · à coque</t>
        </is>
      </c>
      <c r="B280" s="5" t="inlineStr">
        <is>
          <t>Marron</t>
        </is>
      </c>
      <c r="C280" s="9" t="n"/>
      <c r="D280" s="9" t="n"/>
      <c r="E280" s="9" t="n"/>
      <c r="F280" s="9" t="n"/>
      <c r="G280" s="9" t="n"/>
      <c r="H280" s="9" t="n"/>
      <c r="I280" s="9" t="n"/>
      <c r="J280" s="15" t="inlineStr">
        <is>
          <t>●</t>
        </is>
      </c>
      <c r="K280" s="15" t="inlineStr">
        <is>
          <t>●</t>
        </is>
      </c>
      <c r="L280" s="14" t="inlineStr">
        <is>
          <t>●</t>
        </is>
      </c>
      <c r="M280" s="14" t="inlineStr">
        <is>
          <t>●</t>
        </is>
      </c>
      <c r="N280" s="15" t="inlineStr">
        <is>
          <t>●</t>
        </is>
      </c>
      <c r="O280" s="8" t="inlineStr">
        <is>
          <t>FL « Marron » : août-déc. (pleine oct.-nov.)</t>
        </is>
      </c>
      <c r="P280" s="8" t="inlineStr"/>
    </row>
    <row r="281">
      <c r="A281" s="4" t="inlineStr">
        <is>
          <t>Fruit · à coque</t>
        </is>
      </c>
      <c r="B281" s="5" t="inlineStr">
        <is>
          <t>Pignon de pin</t>
        </is>
      </c>
      <c r="C281" s="15" t="inlineStr">
        <is>
          <t>●</t>
        </is>
      </c>
      <c r="D281" s="15" t="inlineStr">
        <is>
          <t>●</t>
        </is>
      </c>
      <c r="E281" s="15" t="inlineStr">
        <is>
          <t>●</t>
        </is>
      </c>
      <c r="F281" s="15" t="inlineStr">
        <is>
          <t>●</t>
        </is>
      </c>
      <c r="G281" s="15" t="inlineStr">
        <is>
          <t>●</t>
        </is>
      </c>
      <c r="H281" s="15" t="inlineStr">
        <is>
          <t>●</t>
        </is>
      </c>
      <c r="I281" s="15" t="inlineStr">
        <is>
          <t>●</t>
        </is>
      </c>
      <c r="J281" s="15" t="inlineStr">
        <is>
          <t>●</t>
        </is>
      </c>
      <c r="K281" s="15" t="inlineStr">
        <is>
          <t>●</t>
        </is>
      </c>
      <c r="L281" s="15" t="inlineStr">
        <is>
          <t>●</t>
        </is>
      </c>
      <c r="M281" s="15" t="inlineStr">
        <is>
          <t>●</t>
        </is>
      </c>
      <c r="N281" s="15" t="inlineStr">
        <is>
          <t>●</t>
        </is>
      </c>
      <c r="O281" s="8" t="inlineStr">
        <is>
          <t>IF « Pignon de pin » : toute l'année</t>
        </is>
      </c>
      <c r="P281" s="8" t="inlineStr"/>
    </row>
    <row r="282">
      <c r="A282" s="4" t="inlineStr">
        <is>
          <t>Fruit · à coque</t>
        </is>
      </c>
      <c r="B282" s="5" t="inlineStr">
        <is>
          <t>Kiwi</t>
        </is>
      </c>
      <c r="C282" s="14" t="inlineStr">
        <is>
          <t>●</t>
        </is>
      </c>
      <c r="D282" s="14" t="inlineStr">
        <is>
          <t>●</t>
        </is>
      </c>
      <c r="E282" s="14" t="inlineStr">
        <is>
          <t>●</t>
        </is>
      </c>
      <c r="F282" s="14" t="inlineStr">
        <is>
          <t>●</t>
        </is>
      </c>
      <c r="G282" s="14" t="inlineStr">
        <is>
          <t>●</t>
        </is>
      </c>
      <c r="H282" s="9" t="n"/>
      <c r="I282" s="9" t="n"/>
      <c r="J282" s="9" t="n"/>
      <c r="K282" s="9" t="n"/>
      <c r="L282" s="9" t="n"/>
      <c r="M282" s="14" t="inlineStr">
        <is>
          <t>●</t>
        </is>
      </c>
      <c r="N282" s="14" t="inlineStr">
        <is>
          <t>●</t>
        </is>
      </c>
      <c r="O282" s="8" t="inlineStr">
        <is>
          <t>FL « Kiwi » : nov.-mai (pleine jan.-fév.) · GP « Kiwi » : nov.-mars · IF « Kiwi » : sept.-juil. (pleine nov.-mai) · BNA « kiwi » : nov.-avr.</t>
        </is>
      </c>
      <c r="P282" s="8" t="inlineStr"/>
    </row>
    <row r="283">
      <c r="A283" s="4" t="inlineStr">
        <is>
          <t>Fruit · à coque</t>
        </is>
      </c>
      <c r="B283" s="5" t="inlineStr">
        <is>
          <t>Kaki</t>
        </is>
      </c>
      <c r="C283" s="14" t="inlineStr">
        <is>
          <t>●</t>
        </is>
      </c>
      <c r="D283" s="9" t="n"/>
      <c r="E283" s="9" t="n"/>
      <c r="F283" s="9" t="n"/>
      <c r="G283" s="9" t="n"/>
      <c r="H283" s="9" t="n"/>
      <c r="I283" s="9" t="n"/>
      <c r="J283" s="9" t="n"/>
      <c r="K283" s="9" t="n"/>
      <c r="L283" s="14" t="inlineStr">
        <is>
          <t>●</t>
        </is>
      </c>
      <c r="M283" s="14" t="inlineStr">
        <is>
          <t>●</t>
        </is>
      </c>
      <c r="N283" s="14" t="inlineStr">
        <is>
          <t>●</t>
        </is>
      </c>
      <c r="O283" s="8" t="inlineStr">
        <is>
          <t>FL « Kaki » : oct.-jan. (pleine nov.-déc.) · GP « Kaki » : oct.-jan. · IF « Kaki » : sept.-fév. (pleine oct.-jan.) · BNA « kaki » : nov.</t>
        </is>
      </c>
      <c r="P283" s="8" t="inlineStr">
        <is>
          <t>IF seul le donne en sept. (import)</t>
        </is>
      </c>
    </row>
    <row r="284">
      <c r="A284" s="4" t="inlineStr">
        <is>
          <t>Fruit · à coque</t>
        </is>
      </c>
      <c r="B284" s="5" t="inlineStr">
        <is>
          <t>Grenade</t>
        </is>
      </c>
      <c r="C284" s="14" t="inlineStr">
        <is>
          <t>●</t>
        </is>
      </c>
      <c r="D284" s="14" t="inlineStr">
        <is>
          <t>●</t>
        </is>
      </c>
      <c r="E284" s="9" t="n"/>
      <c r="F284" s="9" t="n"/>
      <c r="G284" s="9" t="n"/>
      <c r="H284" s="9" t="n"/>
      <c r="I284" s="9" t="n"/>
      <c r="J284" s="14" t="inlineStr">
        <is>
          <t>●</t>
        </is>
      </c>
      <c r="K284" s="14" t="inlineStr">
        <is>
          <t>●</t>
        </is>
      </c>
      <c r="L284" s="14" t="inlineStr">
        <is>
          <t>●</t>
        </is>
      </c>
      <c r="M284" s="14" t="inlineStr">
        <is>
          <t>●</t>
        </is>
      </c>
      <c r="N284" s="14" t="inlineStr">
        <is>
          <t>●</t>
        </is>
      </c>
      <c r="O284" s="8" t="inlineStr">
        <is>
          <t>FL « Grenade » : nov.-fév. (pleine nov.-déc.) · IF « Grenade » : août-fév. (pleine août-fév.)</t>
        </is>
      </c>
      <c r="P284" s="8" t="inlineStr">
        <is>
          <t>IF seul la donne en sept. (import)</t>
        </is>
      </c>
    </row>
    <row r="285">
      <c r="A285" s="2" t="inlineStr">
        <is>
          <t>Exotique (import)</t>
        </is>
      </c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</row>
    <row r="286">
      <c r="A286" s="4" t="inlineStr">
        <is>
          <t>Exotique (import)</t>
        </is>
      </c>
      <c r="B286" s="5" t="inlineStr">
        <is>
          <t>Avocat</t>
        </is>
      </c>
      <c r="C286" s="16" t="inlineStr">
        <is>
          <t>●</t>
        </is>
      </c>
      <c r="D286" s="16" t="inlineStr">
        <is>
          <t>●</t>
        </is>
      </c>
      <c r="E286" s="17" t="inlineStr">
        <is>
          <t>●</t>
        </is>
      </c>
      <c r="F286" s="17" t="inlineStr">
        <is>
          <t>●</t>
        </is>
      </c>
      <c r="G286" s="17" t="inlineStr">
        <is>
          <t>●</t>
        </is>
      </c>
      <c r="H286" s="17" t="inlineStr">
        <is>
          <t>●</t>
        </is>
      </c>
      <c r="I286" s="17" t="inlineStr">
        <is>
          <t>●</t>
        </is>
      </c>
      <c r="J286" s="16" t="inlineStr">
        <is>
          <t>●</t>
        </is>
      </c>
      <c r="K286" s="16" t="inlineStr">
        <is>
          <t>●</t>
        </is>
      </c>
      <c r="L286" s="16" t="inlineStr">
        <is>
          <t>●</t>
        </is>
      </c>
      <c r="M286" s="17" t="inlineStr">
        <is>
          <t>●</t>
        </is>
      </c>
      <c r="N286" s="17" t="inlineStr">
        <is>
          <t>●</t>
        </is>
      </c>
      <c r="O286" s="8" t="inlineStr">
        <is>
          <t>FL « Avocat » : sept.-mai (pleine nov.-déc.) · IF « Avocat » : toute l'année (pleine mars-juil.)</t>
        </is>
      </c>
      <c r="P286" s="8" t="inlineStr"/>
    </row>
    <row r="287">
      <c r="A287" s="4" t="inlineStr">
        <is>
          <t>Exotique (import)</t>
        </is>
      </c>
      <c r="B287" s="5" t="inlineStr">
        <is>
          <t>Banane</t>
        </is>
      </c>
      <c r="C287" s="17" t="inlineStr">
        <is>
          <t>●</t>
        </is>
      </c>
      <c r="D287" s="17" t="inlineStr">
        <is>
          <t>●</t>
        </is>
      </c>
      <c r="E287" s="16" t="inlineStr">
        <is>
          <t>●</t>
        </is>
      </c>
      <c r="F287" s="16" t="inlineStr">
        <is>
          <t>●</t>
        </is>
      </c>
      <c r="G287" s="16" t="inlineStr">
        <is>
          <t>●</t>
        </is>
      </c>
      <c r="H287" s="16" t="inlineStr">
        <is>
          <t>●</t>
        </is>
      </c>
      <c r="I287" s="16" t="inlineStr">
        <is>
          <t>●</t>
        </is>
      </c>
      <c r="J287" s="16" t="inlineStr">
        <is>
          <t>●</t>
        </is>
      </c>
      <c r="K287" s="16" t="inlineStr">
        <is>
          <t>●</t>
        </is>
      </c>
      <c r="L287" s="16" t="inlineStr">
        <is>
          <t>●</t>
        </is>
      </c>
      <c r="M287" s="16" t="inlineStr">
        <is>
          <t>●</t>
        </is>
      </c>
      <c r="N287" s="16" t="inlineStr">
        <is>
          <t>●</t>
        </is>
      </c>
      <c r="O287" s="8" t="inlineStr">
        <is>
          <t>FL « Banane » : toute l'année (pleine jan.-fév.)</t>
        </is>
      </c>
      <c r="P287" s="8" t="inlineStr"/>
    </row>
    <row r="288">
      <c r="A288" s="4" t="inlineStr">
        <is>
          <t>Exotique (import)</t>
        </is>
      </c>
      <c r="B288" s="5" t="inlineStr">
        <is>
          <t>Banane plantain</t>
        </is>
      </c>
      <c r="C288" s="16" t="inlineStr">
        <is>
          <t>●</t>
        </is>
      </c>
      <c r="D288" s="16" t="inlineStr">
        <is>
          <t>●</t>
        </is>
      </c>
      <c r="E288" s="16" t="inlineStr">
        <is>
          <t>●</t>
        </is>
      </c>
      <c r="F288" s="16" t="inlineStr">
        <is>
          <t>●</t>
        </is>
      </c>
      <c r="G288" s="16" t="inlineStr">
        <is>
          <t>●</t>
        </is>
      </c>
      <c r="H288" s="16" t="inlineStr">
        <is>
          <t>●</t>
        </is>
      </c>
      <c r="I288" s="16" t="inlineStr">
        <is>
          <t>●</t>
        </is>
      </c>
      <c r="J288" s="16" t="inlineStr">
        <is>
          <t>●</t>
        </is>
      </c>
      <c r="K288" s="16" t="inlineStr">
        <is>
          <t>●</t>
        </is>
      </c>
      <c r="L288" s="17" t="inlineStr">
        <is>
          <t>●</t>
        </is>
      </c>
      <c r="M288" s="17" t="inlineStr">
        <is>
          <t>●</t>
        </is>
      </c>
      <c r="N288" s="16" t="inlineStr">
        <is>
          <t>●</t>
        </is>
      </c>
      <c r="O288" s="8" t="inlineStr">
        <is>
          <t>FL « Banane plantain » : toute l'année (pleine oct.-nov.)</t>
        </is>
      </c>
      <c r="P288" s="8" t="inlineStr"/>
    </row>
    <row r="289">
      <c r="A289" s="4" t="inlineStr">
        <is>
          <t>Exotique (import)</t>
        </is>
      </c>
      <c r="B289" s="5" t="inlineStr">
        <is>
          <t>Ananas</t>
        </is>
      </c>
      <c r="C289" s="17" t="inlineStr">
        <is>
          <t>●</t>
        </is>
      </c>
      <c r="D289" s="17" t="inlineStr">
        <is>
          <t>●</t>
        </is>
      </c>
      <c r="E289" s="17" t="inlineStr">
        <is>
          <t>●</t>
        </is>
      </c>
      <c r="F289" s="17" t="inlineStr">
        <is>
          <t>●</t>
        </is>
      </c>
      <c r="G289" s="17" t="inlineStr">
        <is>
          <t>●</t>
        </is>
      </c>
      <c r="H289" s="16" t="inlineStr">
        <is>
          <t>●</t>
        </is>
      </c>
      <c r="I289" s="16" t="inlineStr">
        <is>
          <t>●</t>
        </is>
      </c>
      <c r="J289" s="16" t="inlineStr">
        <is>
          <t>●</t>
        </is>
      </c>
      <c r="K289" s="16" t="inlineStr">
        <is>
          <t>●</t>
        </is>
      </c>
      <c r="L289" s="16" t="inlineStr">
        <is>
          <t>●</t>
        </is>
      </c>
      <c r="M289" s="16" t="inlineStr">
        <is>
          <t>●</t>
        </is>
      </c>
      <c r="N289" s="17" t="inlineStr">
        <is>
          <t>●</t>
        </is>
      </c>
      <c r="O289" s="8" t="inlineStr">
        <is>
          <t>FL « Ananas » : nov.-mars (pleine déc.-jan.) · IF « Ananas » : toute l'année (pleine déc.-mai)</t>
        </is>
      </c>
      <c r="P289" s="8" t="inlineStr"/>
    </row>
    <row r="290">
      <c r="A290" s="4" t="inlineStr">
        <is>
          <t>Exotique (import)</t>
        </is>
      </c>
      <c r="B290" s="5" t="inlineStr">
        <is>
          <t>Mangue</t>
        </is>
      </c>
      <c r="C290" s="17" t="inlineStr">
        <is>
          <t>●</t>
        </is>
      </c>
      <c r="D290" s="17" t="inlineStr">
        <is>
          <t>●</t>
        </is>
      </c>
      <c r="E290" s="17" t="inlineStr">
        <is>
          <t>●</t>
        </is>
      </c>
      <c r="F290" s="17" t="inlineStr">
        <is>
          <t>●</t>
        </is>
      </c>
      <c r="G290" s="17" t="inlineStr">
        <is>
          <t>●</t>
        </is>
      </c>
      <c r="H290" s="17" t="inlineStr">
        <is>
          <t>●</t>
        </is>
      </c>
      <c r="I290" s="16" t="inlineStr">
        <is>
          <t>●</t>
        </is>
      </c>
      <c r="J290" s="16" t="inlineStr">
        <is>
          <t>●</t>
        </is>
      </c>
      <c r="K290" s="16" t="inlineStr">
        <is>
          <t>●</t>
        </is>
      </c>
      <c r="L290" s="17" t="inlineStr">
        <is>
          <t>●</t>
        </is>
      </c>
      <c r="M290" s="17" t="inlineStr">
        <is>
          <t>●</t>
        </is>
      </c>
      <c r="N290" s="17" t="inlineStr">
        <is>
          <t>●</t>
        </is>
      </c>
      <c r="O290" s="8" t="inlineStr">
        <is>
          <t>FL « Mangue » : toute l'année (pleine mai-juin) · IF « Mangue » : oct.-juil. (pleine oct.-mai)</t>
        </is>
      </c>
      <c r="P290" s="8" t="inlineStr"/>
    </row>
    <row r="291">
      <c r="A291" s="4" t="inlineStr">
        <is>
          <t>Exotique (import)</t>
        </is>
      </c>
      <c r="B291" s="5" t="inlineStr">
        <is>
          <t>Papaye</t>
        </is>
      </c>
      <c r="C291" s="16" t="inlineStr">
        <is>
          <t>●</t>
        </is>
      </c>
      <c r="D291" s="16" t="inlineStr">
        <is>
          <t>●</t>
        </is>
      </c>
      <c r="E291" s="16" t="inlineStr">
        <is>
          <t>●</t>
        </is>
      </c>
      <c r="F291" s="16" t="inlineStr">
        <is>
          <t>●</t>
        </is>
      </c>
      <c r="G291" s="16" t="inlineStr">
        <is>
          <t>●</t>
        </is>
      </c>
      <c r="H291" s="16" t="inlineStr">
        <is>
          <t>●</t>
        </is>
      </c>
      <c r="I291" s="16" t="inlineStr">
        <is>
          <t>●</t>
        </is>
      </c>
      <c r="J291" s="16" t="inlineStr">
        <is>
          <t>●</t>
        </is>
      </c>
      <c r="K291" s="16" t="inlineStr">
        <is>
          <t>●</t>
        </is>
      </c>
      <c r="L291" s="17" t="inlineStr">
        <is>
          <t>●</t>
        </is>
      </c>
      <c r="M291" s="17" t="inlineStr">
        <is>
          <t>●</t>
        </is>
      </c>
      <c r="N291" s="16" t="inlineStr">
        <is>
          <t>●</t>
        </is>
      </c>
      <c r="O291" s="8" t="inlineStr">
        <is>
          <t>FL « Papaye » : toute l'année (pleine oct.-nov.) · IF « Papaye » : oct.-déc.</t>
        </is>
      </c>
      <c r="P291" s="8" t="inlineStr"/>
    </row>
    <row r="292">
      <c r="A292" s="4" t="inlineStr">
        <is>
          <t>Exotique (import)</t>
        </is>
      </c>
      <c r="B292" s="5" t="inlineStr">
        <is>
          <t>Litchi</t>
        </is>
      </c>
      <c r="C292" s="17" t="inlineStr">
        <is>
          <t>●</t>
        </is>
      </c>
      <c r="D292" s="16" t="inlineStr">
        <is>
          <t>●</t>
        </is>
      </c>
      <c r="E292" s="9" t="n"/>
      <c r="F292" s="16" t="inlineStr">
        <is>
          <t>●</t>
        </is>
      </c>
      <c r="G292" s="9" t="n"/>
      <c r="H292" s="16" t="inlineStr">
        <is>
          <t>●</t>
        </is>
      </c>
      <c r="I292" s="16" t="inlineStr">
        <is>
          <t>●</t>
        </is>
      </c>
      <c r="J292" s="16" t="inlineStr">
        <is>
          <t>●</t>
        </is>
      </c>
      <c r="K292" s="16" t="inlineStr">
        <is>
          <t>●</t>
        </is>
      </c>
      <c r="L292" s="16" t="inlineStr">
        <is>
          <t>●</t>
        </is>
      </c>
      <c r="M292" s="9" t="n"/>
      <c r="N292" s="17" t="inlineStr">
        <is>
          <t>●</t>
        </is>
      </c>
      <c r="O292" s="8" t="inlineStr">
        <is>
          <t>FL « Litchi » : avr., juin-oct., déc.-fév. (pleine déc.-jan.) · IF « Litchi » : déc.-jan. (pleine déc.-jan.)</t>
        </is>
      </c>
      <c r="P292" s="8" t="inlineStr"/>
    </row>
    <row r="293">
      <c r="A293" s="4" t="inlineStr">
        <is>
          <t>Exotique (import)</t>
        </is>
      </c>
      <c r="B293" s="5" t="inlineStr">
        <is>
          <t>Fruit de la passion</t>
        </is>
      </c>
      <c r="C293" s="17" t="inlineStr">
        <is>
          <t>●</t>
        </is>
      </c>
      <c r="D293" s="17" t="inlineStr">
        <is>
          <t>●</t>
        </is>
      </c>
      <c r="E293" s="17" t="inlineStr">
        <is>
          <t>●</t>
        </is>
      </c>
      <c r="F293" s="17" t="inlineStr">
        <is>
          <t>●</t>
        </is>
      </c>
      <c r="G293" s="17" t="inlineStr">
        <is>
          <t>●</t>
        </is>
      </c>
      <c r="H293" s="16" t="inlineStr">
        <is>
          <t>●</t>
        </is>
      </c>
      <c r="I293" s="16" t="inlineStr">
        <is>
          <t>●</t>
        </is>
      </c>
      <c r="J293" s="16" t="inlineStr">
        <is>
          <t>●</t>
        </is>
      </c>
      <c r="K293" s="16" t="inlineStr">
        <is>
          <t>●</t>
        </is>
      </c>
      <c r="L293" s="16" t="inlineStr">
        <is>
          <t>●</t>
        </is>
      </c>
      <c r="M293" s="16" t="inlineStr">
        <is>
          <t>●</t>
        </is>
      </c>
      <c r="N293" s="17" t="inlineStr">
        <is>
          <t>●</t>
        </is>
      </c>
      <c r="O293" s="8" t="inlineStr">
        <is>
          <t>FL « Fruit de la passion » : toute l'année (pleine jan.-fév.) · IF « Fruit de la passion » : toute l'année (pleine déc.-mai)</t>
        </is>
      </c>
      <c r="P293" s="8" t="inlineStr"/>
    </row>
    <row r="294">
      <c r="A294" s="4" t="inlineStr">
        <is>
          <t>Exotique (import)</t>
        </is>
      </c>
      <c r="B294" s="5" t="inlineStr">
        <is>
          <t>Datte</t>
        </is>
      </c>
      <c r="C294" s="17" t="inlineStr">
        <is>
          <t>●</t>
        </is>
      </c>
      <c r="D294" s="17" t="inlineStr">
        <is>
          <t>●</t>
        </is>
      </c>
      <c r="E294" s="17" t="inlineStr">
        <is>
          <t>●</t>
        </is>
      </c>
      <c r="F294" s="17" t="inlineStr">
        <is>
          <t>●</t>
        </is>
      </c>
      <c r="G294" s="17" t="inlineStr">
        <is>
          <t>●</t>
        </is>
      </c>
      <c r="H294" s="16" t="inlineStr">
        <is>
          <t>●</t>
        </is>
      </c>
      <c r="I294" s="9" t="n"/>
      <c r="J294" s="16" t="inlineStr">
        <is>
          <t>●</t>
        </is>
      </c>
      <c r="K294" s="16" t="inlineStr">
        <is>
          <t>●</t>
        </is>
      </c>
      <c r="L294" s="17" t="inlineStr">
        <is>
          <t>●</t>
        </is>
      </c>
      <c r="M294" s="17" t="inlineStr">
        <is>
          <t>●</t>
        </is>
      </c>
      <c r="N294" s="17" t="inlineStr">
        <is>
          <t>●</t>
        </is>
      </c>
      <c r="O294" s="8" t="inlineStr">
        <is>
          <t>FL « Datte » : août-mars (pleine nov.-déc.) · IF « Datte » : sept.-juin (pleine oct.-mai)</t>
        </is>
      </c>
      <c r="P294" s="8" t="inlineStr"/>
    </row>
    <row r="295">
      <c r="A295" s="4" t="inlineStr">
        <is>
          <t>Exotique (import)</t>
        </is>
      </c>
      <c r="B295" s="5" t="inlineStr">
        <is>
          <t>Figue de Barbarie</t>
        </is>
      </c>
      <c r="C295" s="9" t="n"/>
      <c r="D295" s="9" t="n"/>
      <c r="E295" s="9" t="n"/>
      <c r="F295" s="9" t="n"/>
      <c r="G295" s="9" t="n"/>
      <c r="H295" s="9" t="n"/>
      <c r="I295" s="16" t="inlineStr">
        <is>
          <t>●</t>
        </is>
      </c>
      <c r="J295" s="17" t="inlineStr">
        <is>
          <t>●</t>
        </is>
      </c>
      <c r="K295" s="17" t="inlineStr">
        <is>
          <t>●</t>
        </is>
      </c>
      <c r="L295" s="17" t="inlineStr">
        <is>
          <t>●</t>
        </is>
      </c>
      <c r="M295" s="17" t="inlineStr">
        <is>
          <t>●</t>
        </is>
      </c>
      <c r="N295" s="16" t="inlineStr">
        <is>
          <t>●</t>
        </is>
      </c>
      <c r="O295" s="8" t="inlineStr">
        <is>
          <t>FL « Figue de Barbarie » : août-oct. (pleine sept.) · IF « Figue de Barbarie » : juil.-déc. (pleine août-nov.)</t>
        </is>
      </c>
      <c r="P295" s="8" t="inlineStr"/>
    </row>
    <row r="296">
      <c r="A296" s="4" t="inlineStr">
        <is>
          <t>Exotique (import)</t>
        </is>
      </c>
      <c r="B296" s="5" t="inlineStr">
        <is>
          <t>Carambole</t>
        </is>
      </c>
      <c r="C296" s="16" t="inlineStr">
        <is>
          <t>●</t>
        </is>
      </c>
      <c r="D296" s="16" t="inlineStr">
        <is>
          <t>●</t>
        </is>
      </c>
      <c r="E296" s="16" t="inlineStr">
        <is>
          <t>●</t>
        </is>
      </c>
      <c r="F296" s="16" t="inlineStr">
        <is>
          <t>●</t>
        </is>
      </c>
      <c r="G296" s="16" t="inlineStr">
        <is>
          <t>●</t>
        </is>
      </c>
      <c r="H296" s="16" t="inlineStr">
        <is>
          <t>●</t>
        </is>
      </c>
      <c r="I296" s="16" t="inlineStr">
        <is>
          <t>●</t>
        </is>
      </c>
      <c r="J296" s="16" t="inlineStr">
        <is>
          <t>●</t>
        </is>
      </c>
      <c r="K296" s="16" t="inlineStr">
        <is>
          <t>●</t>
        </is>
      </c>
      <c r="L296" s="16" t="inlineStr">
        <is>
          <t>●</t>
        </is>
      </c>
      <c r="M296" s="16" t="inlineStr">
        <is>
          <t>●</t>
        </is>
      </c>
      <c r="N296" s="16" t="inlineStr">
        <is>
          <t>●</t>
        </is>
      </c>
      <c r="O296" s="8" t="inlineStr">
        <is>
          <t>IF « Carambole » : toute l'année</t>
        </is>
      </c>
      <c r="P296" s="8" t="inlineStr"/>
    </row>
    <row r="297">
      <c r="A297" s="4" t="inlineStr">
        <is>
          <t>Exotique (import)</t>
        </is>
      </c>
      <c r="B297" s="5" t="inlineStr">
        <is>
          <t>Mangoustan</t>
        </is>
      </c>
      <c r="C297" s="16" t="inlineStr">
        <is>
          <t>●</t>
        </is>
      </c>
      <c r="D297" s="16" t="inlineStr">
        <is>
          <t>●</t>
        </is>
      </c>
      <c r="E297" s="16" t="inlineStr">
        <is>
          <t>●</t>
        </is>
      </c>
      <c r="F297" s="16" t="inlineStr">
        <is>
          <t>●</t>
        </is>
      </c>
      <c r="G297" s="16" t="inlineStr">
        <is>
          <t>●</t>
        </is>
      </c>
      <c r="H297" s="16" t="inlineStr">
        <is>
          <t>●</t>
        </is>
      </c>
      <c r="I297" s="16" t="inlineStr">
        <is>
          <t>●</t>
        </is>
      </c>
      <c r="J297" s="16" t="inlineStr">
        <is>
          <t>●</t>
        </is>
      </c>
      <c r="K297" s="16" t="inlineStr">
        <is>
          <t>●</t>
        </is>
      </c>
      <c r="L297" s="16" t="inlineStr">
        <is>
          <t>●</t>
        </is>
      </c>
      <c r="M297" s="16" t="inlineStr">
        <is>
          <t>●</t>
        </is>
      </c>
      <c r="N297" s="16" t="inlineStr">
        <is>
          <t>●</t>
        </is>
      </c>
      <c r="O297" s="8" t="inlineStr">
        <is>
          <t>IF « Mangoustan » : toute l'année</t>
        </is>
      </c>
      <c r="P297" s="8" t="inlineStr"/>
    </row>
    <row r="298">
      <c r="A298" s="4" t="inlineStr">
        <is>
          <t>Exotique (import)</t>
        </is>
      </c>
      <c r="B298" s="5" t="inlineStr">
        <is>
          <t>Pitaya</t>
        </is>
      </c>
      <c r="C298" s="16" t="inlineStr">
        <is>
          <t>●</t>
        </is>
      </c>
      <c r="D298" s="16" t="inlineStr">
        <is>
          <t>●</t>
        </is>
      </c>
      <c r="E298" s="16" t="inlineStr">
        <is>
          <t>●</t>
        </is>
      </c>
      <c r="F298" s="16" t="inlineStr">
        <is>
          <t>●</t>
        </is>
      </c>
      <c r="G298" s="16" t="inlineStr">
        <is>
          <t>●</t>
        </is>
      </c>
      <c r="H298" s="16" t="inlineStr">
        <is>
          <t>●</t>
        </is>
      </c>
      <c r="I298" s="16" t="inlineStr">
        <is>
          <t>●</t>
        </is>
      </c>
      <c r="J298" s="16" t="inlineStr">
        <is>
          <t>●</t>
        </is>
      </c>
      <c r="K298" s="16" t="inlineStr">
        <is>
          <t>●</t>
        </is>
      </c>
      <c r="L298" s="16" t="inlineStr">
        <is>
          <t>●</t>
        </is>
      </c>
      <c r="M298" s="16" t="inlineStr">
        <is>
          <t>●</t>
        </is>
      </c>
      <c r="N298" s="16" t="inlineStr">
        <is>
          <t>●</t>
        </is>
      </c>
      <c r="O298" s="8" t="inlineStr">
        <is>
          <t>IF « Pitaya » : toute l'année</t>
        </is>
      </c>
      <c r="P298" s="8" t="inlineStr"/>
    </row>
    <row r="299">
      <c r="A299" s="4" t="inlineStr">
        <is>
          <t>Exotique (import)</t>
        </is>
      </c>
      <c r="B299" s="5" t="inlineStr">
        <is>
          <t>Sapotille</t>
        </is>
      </c>
      <c r="C299" s="16" t="inlineStr">
        <is>
          <t>●</t>
        </is>
      </c>
      <c r="D299" s="16" t="inlineStr">
        <is>
          <t>●</t>
        </is>
      </c>
      <c r="E299" s="16" t="inlineStr">
        <is>
          <t>●</t>
        </is>
      </c>
      <c r="F299" s="16" t="inlineStr">
        <is>
          <t>●</t>
        </is>
      </c>
      <c r="G299" s="16" t="inlineStr">
        <is>
          <t>●</t>
        </is>
      </c>
      <c r="H299" s="16" t="inlineStr">
        <is>
          <t>●</t>
        </is>
      </c>
      <c r="I299" s="16" t="inlineStr">
        <is>
          <t>●</t>
        </is>
      </c>
      <c r="J299" s="16" t="inlineStr">
        <is>
          <t>●</t>
        </is>
      </c>
      <c r="K299" s="16" t="inlineStr">
        <is>
          <t>●</t>
        </is>
      </c>
      <c r="L299" s="16" t="inlineStr">
        <is>
          <t>●</t>
        </is>
      </c>
      <c r="M299" s="16" t="inlineStr">
        <is>
          <t>●</t>
        </is>
      </c>
      <c r="N299" s="16" t="inlineStr">
        <is>
          <t>●</t>
        </is>
      </c>
      <c r="O299" s="8" t="inlineStr">
        <is>
          <t>IF « Sapotille » : toute l'année</t>
        </is>
      </c>
      <c r="P299" s="8" t="inlineStr"/>
    </row>
    <row r="300">
      <c r="A300" s="4" t="inlineStr">
        <is>
          <t>Exotique (import)</t>
        </is>
      </c>
      <c r="B300" s="5" t="inlineStr">
        <is>
          <t>Longane</t>
        </is>
      </c>
      <c r="C300" s="9" t="n"/>
      <c r="D300" s="9" t="n"/>
      <c r="E300" s="9" t="n"/>
      <c r="F300" s="9" t="n"/>
      <c r="G300" s="9" t="n"/>
      <c r="H300" s="9" t="n"/>
      <c r="I300" s="16" t="inlineStr">
        <is>
          <t>●</t>
        </is>
      </c>
      <c r="J300" s="17" t="inlineStr">
        <is>
          <t>●</t>
        </is>
      </c>
      <c r="K300" s="17" t="inlineStr">
        <is>
          <t>●</t>
        </is>
      </c>
      <c r="L300" s="16" t="inlineStr">
        <is>
          <t>●</t>
        </is>
      </c>
      <c r="M300" s="9" t="n"/>
      <c r="N300" s="9" t="n"/>
      <c r="O300" s="8" t="inlineStr">
        <is>
          <t>FL « Longane » : juil.-oct. (pleine août-sept.)</t>
        </is>
      </c>
      <c r="P300" s="8" t="inlineStr"/>
    </row>
    <row r="301">
      <c r="A301" s="4" t="inlineStr">
        <is>
          <t>Exotique (import)</t>
        </is>
      </c>
      <c r="B301" s="5" t="inlineStr">
        <is>
          <t>Manioc</t>
        </is>
      </c>
      <c r="C301" s="16" t="inlineStr">
        <is>
          <t>●</t>
        </is>
      </c>
      <c r="D301" s="16" t="inlineStr">
        <is>
          <t>●</t>
        </is>
      </c>
      <c r="E301" s="16" t="inlineStr">
        <is>
          <t>●</t>
        </is>
      </c>
      <c r="F301" s="16" t="inlineStr">
        <is>
          <t>●</t>
        </is>
      </c>
      <c r="G301" s="16" t="inlineStr">
        <is>
          <t>●</t>
        </is>
      </c>
      <c r="H301" s="16" t="inlineStr">
        <is>
          <t>●</t>
        </is>
      </c>
      <c r="I301" s="16" t="inlineStr">
        <is>
          <t>●</t>
        </is>
      </c>
      <c r="J301" s="16" t="inlineStr">
        <is>
          <t>●</t>
        </is>
      </c>
      <c r="K301" s="17" t="inlineStr">
        <is>
          <t>●</t>
        </is>
      </c>
      <c r="L301" s="17" t="inlineStr">
        <is>
          <t>●</t>
        </is>
      </c>
      <c r="M301" s="16" t="inlineStr">
        <is>
          <t>●</t>
        </is>
      </c>
      <c r="N301" s="16" t="inlineStr">
        <is>
          <t>●</t>
        </is>
      </c>
      <c r="O301" s="8" t="inlineStr">
        <is>
          <t>FL « Manioc » : toute l'année (pleine sept.-oct.)</t>
        </is>
      </c>
      <c r="P301" s="8" t="inlineStr"/>
    </row>
    <row r="302">
      <c r="A302" s="4" t="inlineStr">
        <is>
          <t>Exotique (import)</t>
        </is>
      </c>
      <c r="B302" s="5" t="inlineStr">
        <is>
          <t>Taro</t>
        </is>
      </c>
      <c r="C302" s="16" t="inlineStr">
        <is>
          <t>●</t>
        </is>
      </c>
      <c r="D302" s="16" t="inlineStr">
        <is>
          <t>●</t>
        </is>
      </c>
      <c r="E302" s="16" t="inlineStr">
        <is>
          <t>●</t>
        </is>
      </c>
      <c r="F302" s="16" t="inlineStr">
        <is>
          <t>●</t>
        </is>
      </c>
      <c r="G302" s="16" t="inlineStr">
        <is>
          <t>●</t>
        </is>
      </c>
      <c r="H302" s="16" t="inlineStr">
        <is>
          <t>●</t>
        </is>
      </c>
      <c r="I302" s="16" t="inlineStr">
        <is>
          <t>●</t>
        </is>
      </c>
      <c r="J302" s="16" t="inlineStr">
        <is>
          <t>●</t>
        </is>
      </c>
      <c r="K302" s="16" t="inlineStr">
        <is>
          <t>●</t>
        </is>
      </c>
      <c r="L302" s="17" t="inlineStr">
        <is>
          <t>●</t>
        </is>
      </c>
      <c r="M302" s="17" t="inlineStr">
        <is>
          <t>●</t>
        </is>
      </c>
      <c r="N302" s="16" t="inlineStr">
        <is>
          <t>●</t>
        </is>
      </c>
      <c r="O302" s="8" t="inlineStr">
        <is>
          <t>FL « Taro » : toute l'année (pleine oct.-nov.)</t>
        </is>
      </c>
      <c r="P302" s="8" t="inlineStr"/>
    </row>
    <row r="303">
      <c r="A303" s="4" t="inlineStr">
        <is>
          <t>Exotique (import)</t>
        </is>
      </c>
      <c r="B303" s="5" t="inlineStr">
        <is>
          <t>Canne à sucre</t>
        </is>
      </c>
      <c r="C303" s="16" t="inlineStr">
        <is>
          <t>●</t>
        </is>
      </c>
      <c r="D303" s="16" t="inlineStr">
        <is>
          <t>●</t>
        </is>
      </c>
      <c r="E303" s="16" t="inlineStr">
        <is>
          <t>●</t>
        </is>
      </c>
      <c r="F303" s="16" t="inlineStr">
        <is>
          <t>●</t>
        </is>
      </c>
      <c r="G303" s="16" t="inlineStr">
        <is>
          <t>●</t>
        </is>
      </c>
      <c r="H303" s="16" t="inlineStr">
        <is>
          <t>●</t>
        </is>
      </c>
      <c r="I303" s="16" t="inlineStr">
        <is>
          <t>●</t>
        </is>
      </c>
      <c r="J303" s="17" t="inlineStr">
        <is>
          <t>●</t>
        </is>
      </c>
      <c r="K303" s="17" t="inlineStr">
        <is>
          <t>●</t>
        </is>
      </c>
      <c r="L303" s="16" t="inlineStr">
        <is>
          <t>●</t>
        </is>
      </c>
      <c r="M303" s="16" t="inlineStr">
        <is>
          <t>●</t>
        </is>
      </c>
      <c r="N303" s="16" t="inlineStr">
        <is>
          <t>●</t>
        </is>
      </c>
      <c r="O303" s="8" t="inlineStr">
        <is>
          <t>FL « Canne à sucre » : toute l'année (pleine août-sept.)</t>
        </is>
      </c>
      <c r="P303" s="8" t="inlineStr"/>
    </row>
    <row r="304">
      <c r="A304" s="4" t="inlineStr">
        <is>
          <t>Exotique (import)</t>
        </is>
      </c>
      <c r="B304" s="5" t="inlineStr">
        <is>
          <t>Pistache</t>
        </is>
      </c>
      <c r="C304" s="16" t="inlineStr">
        <is>
          <t>●</t>
        </is>
      </c>
      <c r="D304" s="16" t="inlineStr">
        <is>
          <t>●</t>
        </is>
      </c>
      <c r="E304" s="16" t="inlineStr">
        <is>
          <t>●</t>
        </is>
      </c>
      <c r="F304" s="16" t="inlineStr">
        <is>
          <t>●</t>
        </is>
      </c>
      <c r="G304" s="16" t="inlineStr">
        <is>
          <t>●</t>
        </is>
      </c>
      <c r="H304" s="16" t="inlineStr">
        <is>
          <t>●</t>
        </is>
      </c>
      <c r="I304" s="16" t="inlineStr">
        <is>
          <t>●</t>
        </is>
      </c>
      <c r="J304" s="16" t="inlineStr">
        <is>
          <t>●</t>
        </is>
      </c>
      <c r="K304" s="17" t="inlineStr">
        <is>
          <t>●</t>
        </is>
      </c>
      <c r="L304" s="17" t="inlineStr">
        <is>
          <t>●</t>
        </is>
      </c>
      <c r="M304" s="16" t="inlineStr">
        <is>
          <t>●</t>
        </is>
      </c>
      <c r="N304" s="16" t="inlineStr">
        <is>
          <t>●</t>
        </is>
      </c>
      <c r="O304" s="8" t="inlineStr">
        <is>
          <t>FL « Pistache » : toute l'année (pleine sept.-oct.)</t>
        </is>
      </c>
      <c r="P304" s="8" t="inlineStr"/>
    </row>
    <row r="305">
      <c r="A305" s="4" t="inlineStr">
        <is>
          <t>Exotique (import)</t>
        </is>
      </c>
      <c r="B305" s="5" t="inlineStr">
        <is>
          <t>Noix de pécan</t>
        </is>
      </c>
      <c r="C305" s="16" t="inlineStr">
        <is>
          <t>●</t>
        </is>
      </c>
      <c r="D305" s="16" t="inlineStr">
        <is>
          <t>●</t>
        </is>
      </c>
      <c r="E305" s="16" t="inlineStr">
        <is>
          <t>●</t>
        </is>
      </c>
      <c r="F305" s="16" t="inlineStr">
        <is>
          <t>●</t>
        </is>
      </c>
      <c r="G305" s="16" t="inlineStr">
        <is>
          <t>●</t>
        </is>
      </c>
      <c r="H305" s="16" t="inlineStr">
        <is>
          <t>●</t>
        </is>
      </c>
      <c r="I305" s="16" t="inlineStr">
        <is>
          <t>●</t>
        </is>
      </c>
      <c r="J305" s="16" t="inlineStr">
        <is>
          <t>●</t>
        </is>
      </c>
      <c r="K305" s="16" t="inlineStr">
        <is>
          <t>●</t>
        </is>
      </c>
      <c r="L305" s="17" t="inlineStr">
        <is>
          <t>●</t>
        </is>
      </c>
      <c r="M305" s="17" t="inlineStr">
        <is>
          <t>●</t>
        </is>
      </c>
      <c r="N305" s="16" t="inlineStr">
        <is>
          <t>●</t>
        </is>
      </c>
      <c r="O305" s="8" t="inlineStr">
        <is>
          <t>FL « Noix de pécan » : toute l'année (pleine oct.-nov.)</t>
        </is>
      </c>
      <c r="P305" s="8" t="inlineStr"/>
    </row>
    <row r="306">
      <c r="A306" s="4" t="inlineStr">
        <is>
          <t>Exotique (import)</t>
        </is>
      </c>
      <c r="B306" s="5" t="inlineStr">
        <is>
          <t>Cacahuète</t>
        </is>
      </c>
      <c r="C306" s="16" t="inlineStr">
        <is>
          <t>●</t>
        </is>
      </c>
      <c r="D306" s="16" t="inlineStr">
        <is>
          <t>●</t>
        </is>
      </c>
      <c r="E306" s="16" t="inlineStr">
        <is>
          <t>●</t>
        </is>
      </c>
      <c r="F306" s="16" t="inlineStr">
        <is>
          <t>●</t>
        </is>
      </c>
      <c r="G306" s="16" t="inlineStr">
        <is>
          <t>●</t>
        </is>
      </c>
      <c r="H306" s="16" t="inlineStr">
        <is>
          <t>●</t>
        </is>
      </c>
      <c r="I306" s="16" t="inlineStr">
        <is>
          <t>●</t>
        </is>
      </c>
      <c r="J306" s="16" t="inlineStr">
        <is>
          <t>●</t>
        </is>
      </c>
      <c r="K306" s="17" t="inlineStr">
        <is>
          <t>●</t>
        </is>
      </c>
      <c r="L306" s="17" t="inlineStr">
        <is>
          <t>●</t>
        </is>
      </c>
      <c r="M306" s="16" t="inlineStr">
        <is>
          <t>●</t>
        </is>
      </c>
      <c r="N306" s="16" t="inlineStr">
        <is>
          <t>●</t>
        </is>
      </c>
      <c r="O306" s="8" t="inlineStr">
        <is>
          <t>FL « Cacahuète » : toute l'année (pleine sept.-oct.)</t>
        </is>
      </c>
      <c r="P306" s="8" t="inlineStr"/>
    </row>
    <row r="307">
      <c r="A307" s="4" t="inlineStr">
        <is>
          <t>Exotique (import)</t>
        </is>
      </c>
      <c r="B307" s="5" t="inlineStr">
        <is>
          <t>Combava</t>
        </is>
      </c>
      <c r="C307" s="16" t="inlineStr">
        <is>
          <t>●</t>
        </is>
      </c>
      <c r="D307" s="16" t="inlineStr">
        <is>
          <t>●</t>
        </is>
      </c>
      <c r="E307" s="16" t="inlineStr">
        <is>
          <t>●</t>
        </is>
      </c>
      <c r="F307" s="16" t="inlineStr">
        <is>
          <t>●</t>
        </is>
      </c>
      <c r="G307" s="16" t="inlineStr">
        <is>
          <t>●</t>
        </is>
      </c>
      <c r="H307" s="16" t="inlineStr">
        <is>
          <t>●</t>
        </is>
      </c>
      <c r="I307" s="16" t="inlineStr">
        <is>
          <t>●</t>
        </is>
      </c>
      <c r="J307" s="16" t="inlineStr">
        <is>
          <t>●</t>
        </is>
      </c>
      <c r="K307" s="16" t="inlineStr">
        <is>
          <t>●</t>
        </is>
      </c>
      <c r="L307" s="17" t="inlineStr">
        <is>
          <t>●</t>
        </is>
      </c>
      <c r="M307" s="17" t="inlineStr">
        <is>
          <t>●</t>
        </is>
      </c>
      <c r="N307" s="16" t="inlineStr">
        <is>
          <t>●</t>
        </is>
      </c>
      <c r="O307" s="8" t="inlineStr">
        <is>
          <t>FL « Combava » : toute l'année (pleine oct.-nov.)</t>
        </is>
      </c>
      <c r="P307" s="8" t="inlineStr"/>
    </row>
    <row r="308">
      <c r="A308" s="4" t="inlineStr">
        <is>
          <t>Exotique (import)</t>
        </is>
      </c>
      <c r="B308" s="5" t="inlineStr">
        <is>
          <t>Calamansi</t>
        </is>
      </c>
      <c r="C308" s="16" t="inlineStr">
        <is>
          <t>●</t>
        </is>
      </c>
      <c r="D308" s="16" t="inlineStr">
        <is>
          <t>●</t>
        </is>
      </c>
      <c r="E308" s="16" t="inlineStr">
        <is>
          <t>●</t>
        </is>
      </c>
      <c r="F308" s="16" t="inlineStr">
        <is>
          <t>●</t>
        </is>
      </c>
      <c r="G308" s="16" t="inlineStr">
        <is>
          <t>●</t>
        </is>
      </c>
      <c r="H308" s="16" t="inlineStr">
        <is>
          <t>●</t>
        </is>
      </c>
      <c r="I308" s="16" t="inlineStr">
        <is>
          <t>●</t>
        </is>
      </c>
      <c r="J308" s="16" t="inlineStr">
        <is>
          <t>●</t>
        </is>
      </c>
      <c r="K308" s="17" t="inlineStr">
        <is>
          <t>●</t>
        </is>
      </c>
      <c r="L308" s="17" t="inlineStr">
        <is>
          <t>●</t>
        </is>
      </c>
      <c r="M308" s="16" t="inlineStr">
        <is>
          <t>●</t>
        </is>
      </c>
      <c r="N308" s="16" t="inlineStr">
        <is>
          <t>●</t>
        </is>
      </c>
      <c r="O308" s="8" t="inlineStr">
        <is>
          <t>FL « Calamansi » : toute l'année (pleine sept.-oct.)</t>
        </is>
      </c>
      <c r="P308" s="8" t="inlineStr"/>
    </row>
    <row r="309">
      <c r="B309" s="18" t="inlineStr">
        <is>
          <t>Total ● (de saison + pleine)</t>
        </is>
      </c>
      <c r="C309" s="19">
        <f>COUNTIF(C2:C308,"●")</f>
        <v/>
      </c>
      <c r="D309" s="19">
        <f>COUNTIF(D2:D308,"●")</f>
        <v/>
      </c>
      <c r="E309" s="19">
        <f>COUNTIF(E2:E308,"●")</f>
        <v/>
      </c>
      <c r="F309" s="19">
        <f>COUNTIF(F2:F308,"●")</f>
        <v/>
      </c>
      <c r="G309" s="19">
        <f>COUNTIF(G2:G308,"●")</f>
        <v/>
      </c>
      <c r="H309" s="19">
        <f>COUNTIF(H2:H308,"●")</f>
        <v/>
      </c>
      <c r="I309" s="19">
        <f>COUNTIF(I2:I308,"●")</f>
        <v/>
      </c>
      <c r="J309" s="19">
        <f>COUNTIF(J2:J308,"●")</f>
        <v/>
      </c>
      <c r="K309" s="19">
        <f>COUNTIF(K2:K308,"●")</f>
        <v/>
      </c>
      <c r="L309" s="19">
        <f>COUNTIF(L2:L308,"●")</f>
        <v/>
      </c>
      <c r="M309" s="19">
        <f>COUNTIF(M2:M308,"●")</f>
        <v/>
      </c>
      <c r="N309" s="19">
        <f>COUNTIF(N2:N308,"●")</f>
        <v/>
      </c>
    </row>
  </sheetData>
  <autoFilter ref="A1:P3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0" t="inlineStr">
        <is>
          <t>Fruits et légumes de saison — France métropolitaine</t>
        </is>
      </c>
    </row>
    <row r="2">
      <c r="A2" t="inlineStr"/>
    </row>
    <row r="3">
      <c r="A3" t="inlineStr">
        <is>
          <t>● fond foncé = pleine saison · ● fond clair = de saison · ○ fond jaune = non vérifié (aucune source consultée) · vide = hors saison ou mois non encore traité.</t>
        </is>
      </c>
    </row>
    <row r="4">
      <c r="A4" t="inlineStr"/>
    </row>
    <row r="5">
      <c r="A5" t="inlineStr">
        <is>
          <t>État du travail : les 12 mois sont renseignés et sourcés (2026-09-16, tools/saisons_fill.py).</t>
        </is>
      </c>
    </row>
    <row r="6">
      <c r="A6" t="inlineStr">
        <is>
          <t>Règle : un mois est « de saison » quand les sources à couverture annuelle qui le listent sont au moins aussi nombreuses que celles qui l'excluent (égalité = oui) ;</t>
        </is>
      </c>
    </row>
    <row r="7">
      <c r="A7" t="inlineStr">
        <is>
          <t>« pleine saison » quand, en plus, une source la déclare (pleine saison fruits-legumes.org, cœur de saison Interfel, texte explicite) — cette déclaration pèse double dans le vote.</t>
        </is>
      </c>
    </row>
    <row r="8">
      <c r="A8" t="inlineStr">
        <is>
          <t>Les listes de septembre seul (GF, DBB, CV, BM, PG, CDC) ne votent qu'en septembre. « ? » = aucune source pour le produit.</t>
        </is>
      </c>
    </row>
    <row r="9">
      <c r="A9" t="inlineStr">
        <is>
          <t>La colonne « Sources (période par source) » donne, pour chaque source, la période qu'elle attribue au produit (pleine saison entre parenthèses) ; la colonne « Notes » signale les réserves.</t>
        </is>
      </c>
    </row>
    <row r="10">
      <c r="A10" t="inlineStr">
        <is>
          <t>« = X (assimilé) » : la variété n'est pas distinguée par les sources, elle reprend la valeur du produit X.</t>
        </is>
      </c>
    </row>
    <row r="11">
      <c r="A11" t="inlineStr"/>
    </row>
    <row r="12">
      <c r="A12" t="inlineStr">
        <is>
          <t>Codes des sources (détail et URL dans data/saisons/SOURCES.md) :</t>
        </is>
      </c>
    </row>
    <row r="13">
      <c r="A13" t="inlineStr">
        <is>
          <t>FL  = fruits-legumes.org (calendrier et fiches, pleine saison / de saison)</t>
        </is>
      </c>
    </row>
    <row r="14">
      <c r="A14" t="inlineStr">
        <is>
          <t>IF  = Interfel, lesfruitsetlegumesfrais.com (calendrier en ligne et fiches produits : cœur de saison / saison / disponibilité)</t>
        </is>
      </c>
    </row>
    <row r="15">
      <c r="A15" t="inlineStr">
        <is>
          <t>GP  = Greenpeace, calendrier « Le guetteur » et guide PDF 2022</t>
        </is>
      </c>
    </row>
    <row r="16">
      <c r="A16" t="inlineStr">
        <is>
          <t>BNA = Bio Nouvelle-Aquitaine, calendrier PDF</t>
        </is>
      </c>
    </row>
    <row r="17">
      <c r="A17" t="inlineStr">
        <is>
          <t>GF  = Green Fudge, « Les légumes de septembre par famille »</t>
        </is>
      </c>
    </row>
    <row r="18">
      <c r="A18" t="inlineStr">
        <is>
          <t>DBB = DocteurBonneBouffe, « Les fruits et légumes de septembre »</t>
        </is>
      </c>
    </row>
    <row r="19">
      <c r="A19" t="inlineStr">
        <is>
          <t>CV  = Cerise et Vinaigrette, liste de septembre</t>
        </is>
      </c>
    </row>
    <row r="20">
      <c r="A20" t="inlineStr">
        <is>
          <t>BM  = BienManger, calendrier des saisons</t>
        </is>
      </c>
    </row>
    <row r="21">
      <c r="A21" t="inlineStr">
        <is>
          <t>PG  = Les Producteurs Gâtinais, calendrier</t>
        </is>
      </c>
    </row>
    <row r="22">
      <c r="A22" t="inlineStr">
        <is>
          <t>FM  = La Ferme de Margaux, calendrier de maturité des pommes</t>
        </is>
      </c>
    </row>
    <row r="23">
      <c r="A23" t="inlineStr">
        <is>
          <t>ML  = Mangeons local .bzh (courges par variété, aromatiques par mois)</t>
        </is>
      </c>
    </row>
    <row r="24">
      <c r="A24" t="inlineStr">
        <is>
          <t>MC  = Mycocarta, saisons des champignons</t>
        </is>
      </c>
    </row>
    <row r="25">
      <c r="A25" t="inlineStr">
        <is>
          <t>CDC = Chasseurs de champignons (via résumé de recherche)</t>
        </is>
      </c>
    </row>
    <row r="26">
      <c r="A26" t="inlineStr">
        <is>
          <t>SM  = Swissmilk, choux de saison</t>
        </is>
      </c>
    </row>
    <row r="27">
      <c r="A27" t="inlineStr">
        <is>
          <t>PDT = lespommesdeterre.com, primeurs et conservation</t>
        </is>
      </c>
    </row>
    <row r="28">
      <c r="A28" t="inlineStr">
        <is>
          <t>LN  = LaNutrition.fr, variétés de raisin (via résumé de recherche)</t>
        </is>
      </c>
    </row>
    <row r="29">
      <c r="A29" t="inlineStr">
        <is>
          <t>DNC = Drive de nos campagnes, saison de la noix (via résumé de recherche)</t>
        </is>
      </c>
    </row>
    <row r="30">
      <c r="A30" t="inlineStr">
        <is>
          <t>VD  = Vedura (via résumé de recherche)</t>
        </is>
      </c>
    </row>
    <row r="31">
      <c r="A31" t="inlineStr">
        <is>
          <t>CJ  = Culture Jardin / Aroma-Zone, cébette (via résumé de recherche)</t>
        </is>
      </c>
    </row>
    <row r="32">
      <c r="A32" t="inlineStr">
        <is>
          <t>PPF = Pommes et poires de France / ANPP, tableaux variétaux pommes et poires (PDF, périodes de vente)</t>
        </is>
      </c>
    </row>
    <row r="33">
      <c r="A33" t="inlineStr">
        <is>
          <t>Sources web des produits sans calendrier (relevé du 2026-09-16, une page lue par produit) : LPF Le Poireau de France · AJ Au Jardin · AGS Agrosemens · POU Pouliquen · JDJ Le Jardin de Jenny ·</t>
        </is>
      </c>
    </row>
    <row r="34">
      <c r="A34" t="inlineStr">
        <is>
          <t>JM Jardiner-malin · TV Terre Vivante · IRI Iriso · GB Gerbeaud · BMS Bien manger selon les saisons · RDT La Ratte du Touquet · MDV Mogette de Vendée · ALE Alélor ·</t>
        </is>
      </c>
    </row>
    <row r="35">
      <c r="A35" t="inlineStr">
        <is>
          <t>GBQ Graines Bocquet · GSM Graines-semences · ADP Autour du potager · CLC Cultiver-les-champignons · PJ PagesJaunes jardinage/potager · TPM Tisanes et potions des montagnes ·</t>
        </is>
      </c>
    </row>
    <row r="36">
      <c r="A36" t="inlineStr">
        <is>
          <t>GRO Pépinières Gromolard · ODC AOP Oignon doux des Cévennes · OTR Office de tourisme de Roscoff · PL pomme-pinklady.com · WK Wikipédia · FDF Fraisiers de France ·</t>
        </is>
      </c>
    </row>
    <row r="37">
      <c r="A37" t="inlineStr">
        <is>
          <t>FDS Syndicat AOP Figue de Solliès · PDB Pépinière du Bosc · LAF L'Arbre aux fruits · COC Pépinière Cochet · TLJ Tom le jardinier · MV Monde Végétal · CAN Canaghja ·</t>
        </is>
      </c>
    </row>
    <row r="38">
      <c r="A38" t="inlineStr">
        <is>
          <t>AAA Les Agrumes de l'Armagnac · BAK Bakker · PRO Prosem · PNA Produits de Nouvelle-Aquitaine · TD Terre Dauphinoise · IF fiche = fiche produit Interfel (variétés).</t>
        </is>
      </c>
    </row>
    <row r="39">
      <c r="A39" t="inlineStr"/>
    </row>
    <row r="40">
      <c r="A40" t="inlineStr">
        <is>
          <t>Régénérer le classeur : py tools/saisons_xlsx.py (source : data/saisons/saisons.csv).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2026-09-16T20:22:15Z</dcterms:created>
  <dcterms:modified xmlns:dcterms="http://purl.org/dc/terms/" xmlns:xsi="http://www.w3.org/2001/XMLSchema-instance" xsi:type="dcterms:W3CDTF">2026-09-16T20:22:15Z</dcterms:modified>
</cp:coreProperties>
</file>